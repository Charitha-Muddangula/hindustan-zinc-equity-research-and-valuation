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253d5ff64348c0/Documents/"/>
    </mc:Choice>
  </mc:AlternateContent>
  <xr:revisionPtr revIDLastSave="2293" documentId="8_{1A16D53B-FEB5-4D41-885A-5AB60B773B4B}" xr6:coauthVersionLast="47" xr6:coauthVersionMax="47" xr10:uidLastSave="{DB07E1B8-1087-4BAA-9302-E2A37E8B8CAD}"/>
  <bookViews>
    <workbookView xWindow="-108" yWindow="-108" windowWidth="23256" windowHeight="12456" firstSheet="9" activeTab="13" xr2:uid="{B75B6F17-B9D7-41A6-AFA1-4FECD9FA9FF1}"/>
  </bookViews>
  <sheets>
    <sheet name="FRONT PAGE" sheetId="19" r:id="rId1"/>
    <sheet name="SUMMARY TABLES" sheetId="17" r:id="rId2"/>
    <sheet name="CHARTS" sheetId="18" r:id="rId3"/>
    <sheet name="P&amp;L " sheetId="1" r:id="rId4"/>
    <sheet name="Balance sheet" sheetId="2" r:id="rId5"/>
    <sheet name="Cash flow" sheetId="4" r:id="rId6"/>
    <sheet name="Common Size  P&amp;L" sheetId="5" r:id="rId7"/>
    <sheet name="Common Size B&amp;L" sheetId="6" r:id="rId8"/>
    <sheet name="Ratio Analysis" sheetId="7" r:id="rId9"/>
    <sheet name="Revenue model" sheetId="11" r:id="rId10"/>
    <sheet name="Capex model" sheetId="12" r:id="rId11"/>
    <sheet name="DCF" sheetId="13" r:id="rId12"/>
    <sheet name="RELATIVE VALUATION" sheetId="22" r:id="rId13"/>
    <sheet name="Valuation based on frwd mutlple" sheetId="15" r:id="rId14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5" l="1"/>
  <c r="I23" i="7"/>
  <c r="J7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0" i="15"/>
  <c r="D341" i="15"/>
  <c r="D342" i="15"/>
  <c r="D343" i="15"/>
  <c r="D344" i="15"/>
  <c r="D345" i="15"/>
  <c r="D346" i="15"/>
  <c r="D347" i="15"/>
  <c r="D348" i="15"/>
  <c r="D349" i="15"/>
  <c r="D350" i="15"/>
  <c r="D351" i="15"/>
  <c r="D352" i="15"/>
  <c r="D353" i="15"/>
  <c r="D354" i="15"/>
  <c r="D355" i="15"/>
  <c r="D356" i="15"/>
  <c r="D357" i="15"/>
  <c r="D358" i="15"/>
  <c r="D359" i="15"/>
  <c r="D360" i="15"/>
  <c r="D361" i="15"/>
  <c r="D362" i="15"/>
  <c r="D363" i="15"/>
  <c r="D364" i="15"/>
  <c r="D365" i="15"/>
  <c r="D366" i="15"/>
  <c r="D367" i="15"/>
  <c r="D368" i="15"/>
  <c r="D369" i="15"/>
  <c r="D370" i="15"/>
  <c r="D371" i="15"/>
  <c r="D372" i="15"/>
  <c r="D373" i="15"/>
  <c r="D374" i="15"/>
  <c r="D375" i="15"/>
  <c r="D376" i="15"/>
  <c r="D377" i="15"/>
  <c r="D378" i="15"/>
  <c r="D379" i="15"/>
  <c r="D380" i="15"/>
  <c r="D381" i="15"/>
  <c r="D382" i="15"/>
  <c r="D383" i="15"/>
  <c r="D384" i="15"/>
  <c r="D385" i="15"/>
  <c r="D386" i="15"/>
  <c r="D387" i="15"/>
  <c r="D388" i="15"/>
  <c r="D389" i="15"/>
  <c r="D390" i="15"/>
  <c r="D391" i="15"/>
  <c r="D392" i="15"/>
  <c r="D393" i="15"/>
  <c r="D394" i="15"/>
  <c r="D395" i="15"/>
  <c r="D396" i="15"/>
  <c r="D397" i="15"/>
  <c r="D398" i="15"/>
  <c r="D399" i="15"/>
  <c r="D400" i="15"/>
  <c r="D401" i="15"/>
  <c r="D402" i="15"/>
  <c r="D403" i="15"/>
  <c r="D404" i="15"/>
  <c r="D405" i="15"/>
  <c r="D406" i="15"/>
  <c r="D407" i="15"/>
  <c r="D408" i="15"/>
  <c r="D409" i="15"/>
  <c r="D410" i="15"/>
  <c r="D411" i="15"/>
  <c r="D412" i="15"/>
  <c r="D413" i="15"/>
  <c r="D414" i="15"/>
  <c r="D415" i="15"/>
  <c r="D416" i="15"/>
  <c r="D417" i="15"/>
  <c r="D418" i="15"/>
  <c r="D419" i="15"/>
  <c r="D420" i="15"/>
  <c r="D421" i="15"/>
  <c r="D422" i="15"/>
  <c r="D423" i="15"/>
  <c r="D424" i="15"/>
  <c r="D425" i="15"/>
  <c r="D426" i="15"/>
  <c r="D427" i="15"/>
  <c r="D428" i="15"/>
  <c r="D429" i="15"/>
  <c r="D430" i="15"/>
  <c r="D431" i="15"/>
  <c r="D432" i="15"/>
  <c r="D433" i="15"/>
  <c r="D434" i="15"/>
  <c r="D435" i="15"/>
  <c r="D436" i="15"/>
  <c r="D437" i="15"/>
  <c r="D438" i="15"/>
  <c r="D439" i="15"/>
  <c r="D440" i="15"/>
  <c r="D441" i="15"/>
  <c r="D442" i="15"/>
  <c r="D443" i="15"/>
  <c r="D444" i="15"/>
  <c r="D445" i="15"/>
  <c r="D446" i="15"/>
  <c r="D447" i="15"/>
  <c r="D448" i="15"/>
  <c r="D449" i="15"/>
  <c r="D450" i="15"/>
  <c r="D451" i="15"/>
  <c r="D452" i="15"/>
  <c r="D453" i="15"/>
  <c r="D454" i="15"/>
  <c r="D455" i="15"/>
  <c r="D456" i="15"/>
  <c r="D457" i="15"/>
  <c r="D458" i="15"/>
  <c r="D459" i="15"/>
  <c r="D460" i="15"/>
  <c r="D461" i="15"/>
  <c r="D462" i="15"/>
  <c r="D463" i="15"/>
  <c r="D464" i="15"/>
  <c r="D465" i="15"/>
  <c r="D466" i="15"/>
  <c r="D467" i="15"/>
  <c r="D468" i="15"/>
  <c r="D469" i="15"/>
  <c r="D470" i="15"/>
  <c r="D471" i="15"/>
  <c r="D472" i="15"/>
  <c r="D473" i="15"/>
  <c r="D474" i="15"/>
  <c r="D475" i="15"/>
  <c r="D476" i="15"/>
  <c r="D477" i="15"/>
  <c r="D478" i="15"/>
  <c r="D479" i="15"/>
  <c r="D480" i="15"/>
  <c r="D481" i="15"/>
  <c r="D482" i="15"/>
  <c r="D483" i="15"/>
  <c r="D484" i="15"/>
  <c r="D485" i="15"/>
  <c r="D486" i="15"/>
  <c r="D487" i="15"/>
  <c r="D488" i="15"/>
  <c r="D489" i="15"/>
  <c r="D490" i="15"/>
  <c r="D491" i="15"/>
  <c r="D492" i="15"/>
  <c r="D493" i="15"/>
  <c r="D494" i="15"/>
  <c r="D495" i="15"/>
  <c r="D496" i="15"/>
  <c r="D497" i="15"/>
  <c r="D498" i="15"/>
  <c r="D499" i="15"/>
  <c r="D500" i="15"/>
  <c r="D501" i="15"/>
  <c r="D502" i="15"/>
  <c r="D503" i="15"/>
  <c r="D504" i="15"/>
  <c r="D505" i="15"/>
  <c r="D506" i="15"/>
  <c r="D507" i="15"/>
  <c r="D508" i="15"/>
  <c r="D509" i="15"/>
  <c r="D510" i="15"/>
  <c r="D511" i="15"/>
  <c r="D512" i="15"/>
  <c r="D513" i="15"/>
  <c r="D514" i="15"/>
  <c r="D515" i="15"/>
  <c r="D516" i="15"/>
  <c r="D517" i="15"/>
  <c r="D518" i="15"/>
  <c r="D519" i="15"/>
  <c r="D520" i="15"/>
  <c r="D521" i="15"/>
  <c r="D522" i="15"/>
  <c r="D523" i="15"/>
  <c r="D524" i="15"/>
  <c r="D525" i="15"/>
  <c r="D526" i="15"/>
  <c r="D527" i="15"/>
  <c r="D528" i="15"/>
  <c r="D529" i="15"/>
  <c r="D530" i="15"/>
  <c r="D531" i="15"/>
  <c r="D532" i="15"/>
  <c r="D533" i="15"/>
  <c r="D534" i="15"/>
  <c r="D535" i="15"/>
  <c r="D536" i="15"/>
  <c r="D537" i="15"/>
  <c r="D538" i="15"/>
  <c r="D539" i="15"/>
  <c r="D540" i="15"/>
  <c r="D541" i="15"/>
  <c r="D542" i="15"/>
  <c r="D543" i="15"/>
  <c r="D544" i="15"/>
  <c r="D545" i="15"/>
  <c r="D546" i="15"/>
  <c r="D547" i="15"/>
  <c r="D548" i="15"/>
  <c r="D549" i="15"/>
  <c r="D550" i="15"/>
  <c r="D551" i="15"/>
  <c r="D552" i="15"/>
  <c r="D553" i="15"/>
  <c r="D554" i="15"/>
  <c r="D555" i="15"/>
  <c r="D556" i="15"/>
  <c r="D557" i="15"/>
  <c r="D558" i="15"/>
  <c r="D559" i="15"/>
  <c r="D560" i="15"/>
  <c r="D561" i="15"/>
  <c r="D562" i="15"/>
  <c r="D563" i="15"/>
  <c r="D564" i="15"/>
  <c r="D565" i="15"/>
  <c r="D566" i="15"/>
  <c r="D567" i="15"/>
  <c r="D568" i="15"/>
  <c r="D569" i="15"/>
  <c r="D570" i="15"/>
  <c r="D571" i="15"/>
  <c r="D572" i="15"/>
  <c r="D573" i="15"/>
  <c r="D574" i="15"/>
  <c r="D575" i="15"/>
  <c r="D576" i="15"/>
  <c r="D577" i="15"/>
  <c r="D578" i="15"/>
  <c r="D579" i="15"/>
  <c r="D580" i="15"/>
  <c r="D581" i="15"/>
  <c r="D582" i="15"/>
  <c r="D583" i="15"/>
  <c r="D584" i="15"/>
  <c r="D585" i="15"/>
  <c r="D586" i="15"/>
  <c r="D587" i="15"/>
  <c r="D588" i="15"/>
  <c r="D589" i="15"/>
  <c r="D590" i="15"/>
  <c r="D591" i="15"/>
  <c r="D592" i="15"/>
  <c r="D593" i="15"/>
  <c r="D594" i="15"/>
  <c r="D595" i="15"/>
  <c r="D596" i="15"/>
  <c r="D597" i="15"/>
  <c r="D598" i="15"/>
  <c r="D599" i="15"/>
  <c r="D600" i="15"/>
  <c r="D601" i="15"/>
  <c r="D602" i="15"/>
  <c r="D603" i="15"/>
  <c r="D604" i="15"/>
  <c r="D605" i="15"/>
  <c r="D606" i="15"/>
  <c r="D607" i="15"/>
  <c r="D608" i="15"/>
  <c r="D609" i="15"/>
  <c r="D610" i="15"/>
  <c r="D611" i="15"/>
  <c r="D612" i="15"/>
  <c r="D613" i="15"/>
  <c r="D614" i="15"/>
  <c r="D615" i="15"/>
  <c r="D616" i="15"/>
  <c r="D617" i="15"/>
  <c r="D618" i="15"/>
  <c r="D619" i="15"/>
  <c r="D620" i="15"/>
  <c r="D621" i="15"/>
  <c r="D622" i="15"/>
  <c r="D623" i="15"/>
  <c r="D624" i="15"/>
  <c r="D625" i="15"/>
  <c r="D626" i="15"/>
  <c r="D627" i="15"/>
  <c r="D628" i="15"/>
  <c r="D629" i="15"/>
  <c r="D630" i="15"/>
  <c r="D631" i="15"/>
  <c r="D632" i="15"/>
  <c r="D633" i="15"/>
  <c r="D634" i="15"/>
  <c r="D635" i="15"/>
  <c r="D636" i="15"/>
  <c r="D637" i="15"/>
  <c r="D638" i="15"/>
  <c r="D639" i="15"/>
  <c r="D640" i="15"/>
  <c r="D641" i="15"/>
  <c r="D642" i="15"/>
  <c r="D643" i="15"/>
  <c r="D644" i="15"/>
  <c r="D645" i="15"/>
  <c r="D646" i="15"/>
  <c r="D647" i="15"/>
  <c r="D648" i="15"/>
  <c r="D649" i="15"/>
  <c r="D650" i="15"/>
  <c r="D651" i="15"/>
  <c r="D652" i="15"/>
  <c r="D653" i="15"/>
  <c r="D654" i="15"/>
  <c r="D655" i="15"/>
  <c r="D656" i="15"/>
  <c r="D657" i="15"/>
  <c r="D658" i="15"/>
  <c r="D659" i="15"/>
  <c r="D660" i="15"/>
  <c r="D661" i="15"/>
  <c r="D662" i="15"/>
  <c r="D663" i="15"/>
  <c r="D664" i="15"/>
  <c r="D665" i="15"/>
  <c r="D666" i="15"/>
  <c r="D667" i="15"/>
  <c r="D668" i="15"/>
  <c r="D669" i="15"/>
  <c r="D670" i="15"/>
  <c r="D671" i="15"/>
  <c r="D672" i="15"/>
  <c r="D673" i="15"/>
  <c r="D674" i="15"/>
  <c r="D675" i="15"/>
  <c r="D676" i="15"/>
  <c r="D677" i="15"/>
  <c r="D678" i="15"/>
  <c r="D679" i="15"/>
  <c r="D680" i="15"/>
  <c r="D681" i="15"/>
  <c r="D682" i="15"/>
  <c r="D683" i="15"/>
  <c r="D684" i="15"/>
  <c r="D685" i="15"/>
  <c r="D686" i="15"/>
  <c r="D687" i="15"/>
  <c r="D688" i="15"/>
  <c r="D689" i="15"/>
  <c r="D690" i="15"/>
  <c r="D691" i="15"/>
  <c r="D692" i="15"/>
  <c r="D693" i="15"/>
  <c r="D694" i="15"/>
  <c r="D695" i="15"/>
  <c r="D696" i="15"/>
  <c r="D697" i="15"/>
  <c r="D698" i="15"/>
  <c r="D699" i="15"/>
  <c r="D700" i="15"/>
  <c r="D701" i="15"/>
  <c r="D702" i="15"/>
  <c r="D703" i="15"/>
  <c r="D704" i="15"/>
  <c r="D705" i="15"/>
  <c r="D706" i="15"/>
  <c r="D707" i="15"/>
  <c r="D708" i="15"/>
  <c r="D709" i="15"/>
  <c r="D710" i="15"/>
  <c r="D711" i="15"/>
  <c r="D712" i="15"/>
  <c r="D713" i="15"/>
  <c r="D714" i="15"/>
  <c r="D715" i="15"/>
  <c r="D716" i="15"/>
  <c r="D717" i="15"/>
  <c r="D718" i="15"/>
  <c r="D719" i="15"/>
  <c r="D720" i="15"/>
  <c r="D721" i="15"/>
  <c r="D722" i="15"/>
  <c r="D723" i="15"/>
  <c r="D724" i="15"/>
  <c r="D725" i="15"/>
  <c r="D726" i="15"/>
  <c r="D727" i="15"/>
  <c r="D728" i="15"/>
  <c r="D729" i="15"/>
  <c r="D730" i="15"/>
  <c r="D731" i="15"/>
  <c r="D732" i="15"/>
  <c r="D733" i="15"/>
  <c r="D734" i="15"/>
  <c r="D735" i="15"/>
  <c r="D736" i="15"/>
  <c r="D737" i="15"/>
  <c r="D738" i="15"/>
  <c r="D739" i="15"/>
  <c r="D740" i="15"/>
  <c r="D741" i="15"/>
  <c r="D742" i="15"/>
  <c r="D743" i="15"/>
  <c r="D744" i="15"/>
  <c r="D745" i="15"/>
  <c r="D746" i="15"/>
  <c r="D747" i="15"/>
  <c r="D748" i="15"/>
  <c r="D749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C10" i="22"/>
  <c r="D10" i="22"/>
  <c r="E10" i="22"/>
  <c r="F10" i="22"/>
  <c r="B10" i="22"/>
  <c r="D8" i="22"/>
  <c r="D7" i="22"/>
  <c r="F6" i="22"/>
  <c r="E6" i="22"/>
  <c r="D6" i="22"/>
  <c r="C6" i="22"/>
  <c r="B6" i="22"/>
  <c r="G25" i="1"/>
  <c r="G31" i="1"/>
  <c r="G34" i="1"/>
  <c r="C34" i="1"/>
  <c r="D34" i="1"/>
  <c r="E34" i="1"/>
  <c r="F34" i="1"/>
  <c r="H34" i="1"/>
  <c r="H19" i="7"/>
  <c r="I19" i="7"/>
  <c r="D19" i="7"/>
  <c r="E19" i="7"/>
  <c r="F19" i="7"/>
  <c r="G19" i="7"/>
  <c r="C19" i="7"/>
  <c r="D45" i="7"/>
  <c r="E45" i="7"/>
  <c r="F45" i="7"/>
  <c r="G45" i="7"/>
  <c r="C44" i="7"/>
  <c r="H40" i="7"/>
  <c r="D39" i="7"/>
  <c r="E39" i="7"/>
  <c r="F39" i="7"/>
  <c r="G39" i="7"/>
  <c r="C39" i="7"/>
  <c r="G38" i="7"/>
  <c r="D38" i="7"/>
  <c r="E38" i="7"/>
  <c r="F38" i="7"/>
  <c r="C38" i="7"/>
  <c r="F25" i="7" l="1"/>
  <c r="G25" i="7"/>
  <c r="I43" i="7"/>
  <c r="H43" i="7"/>
  <c r="D58" i="13"/>
  <c r="K10" i="15"/>
  <c r="C23" i="7"/>
  <c r="D23" i="7"/>
  <c r="C708" i="15" s="1"/>
  <c r="E23" i="7"/>
  <c r="F23" i="7"/>
  <c r="G23" i="7"/>
  <c r="C15" i="15" s="1"/>
  <c r="H23" i="7"/>
  <c r="C706" i="15"/>
  <c r="C720" i="15"/>
  <c r="C721" i="15"/>
  <c r="C730" i="15"/>
  <c r="C731" i="15"/>
  <c r="C732" i="15"/>
  <c r="C733" i="15"/>
  <c r="C742" i="15"/>
  <c r="C482" i="15"/>
  <c r="C490" i="15"/>
  <c r="C491" i="15"/>
  <c r="C492" i="15"/>
  <c r="C493" i="15"/>
  <c r="C494" i="15"/>
  <c r="C516" i="15"/>
  <c r="C517" i="15"/>
  <c r="C518" i="15"/>
  <c r="C527" i="15"/>
  <c r="C528" i="15"/>
  <c r="C529" i="15"/>
  <c r="C550" i="15"/>
  <c r="C551" i="15"/>
  <c r="C552" i="15"/>
  <c r="C553" i="15"/>
  <c r="C554" i="15"/>
  <c r="C562" i="15"/>
  <c r="C563" i="15"/>
  <c r="C576" i="15"/>
  <c r="C577" i="15"/>
  <c r="C578" i="15"/>
  <c r="C586" i="15"/>
  <c r="C587" i="15"/>
  <c r="C588" i="15"/>
  <c r="C589" i="15"/>
  <c r="C602" i="15"/>
  <c r="C610" i="15"/>
  <c r="C611" i="15"/>
  <c r="C612" i="15"/>
  <c r="C613" i="15"/>
  <c r="C614" i="15"/>
  <c r="C622" i="15"/>
  <c r="C635" i="15"/>
  <c r="C636" i="15"/>
  <c r="C637" i="15"/>
  <c r="C638" i="15"/>
  <c r="C646" i="15"/>
  <c r="C647" i="15"/>
  <c r="C648" i="15"/>
  <c r="C661" i="15"/>
  <c r="C662" i="15"/>
  <c r="C670" i="15"/>
  <c r="C671" i="15"/>
  <c r="C672" i="15"/>
  <c r="C673" i="15"/>
  <c r="C674" i="15"/>
  <c r="C694" i="15"/>
  <c r="C695" i="15"/>
  <c r="C696" i="15"/>
  <c r="C697" i="15"/>
  <c r="C698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207" i="15"/>
  <c r="C7" i="15"/>
  <c r="C8" i="15"/>
  <c r="C9" i="15"/>
  <c r="C10" i="15"/>
  <c r="C11" i="15"/>
  <c r="C12" i="15"/>
  <c r="C13" i="15"/>
  <c r="C14" i="15"/>
  <c r="C18" i="15"/>
  <c r="C19" i="15"/>
  <c r="C20" i="15"/>
  <c r="C21" i="15"/>
  <c r="C22" i="15"/>
  <c r="C23" i="15"/>
  <c r="C24" i="15"/>
  <c r="C25" i="15"/>
  <c r="C26" i="15"/>
  <c r="C30" i="15"/>
  <c r="C31" i="15"/>
  <c r="C32" i="15"/>
  <c r="C33" i="15"/>
  <c r="C34" i="15"/>
  <c r="C35" i="15"/>
  <c r="C36" i="15"/>
  <c r="C37" i="15"/>
  <c r="C38" i="15"/>
  <c r="C42" i="15"/>
  <c r="C43" i="15"/>
  <c r="C44" i="15"/>
  <c r="C45" i="15"/>
  <c r="C46" i="15"/>
  <c r="C47" i="15"/>
  <c r="C48" i="15"/>
  <c r="C49" i="15"/>
  <c r="C50" i="15"/>
  <c r="C54" i="15"/>
  <c r="C55" i="15"/>
  <c r="C56" i="15"/>
  <c r="C57" i="15"/>
  <c r="C58" i="15"/>
  <c r="C59" i="15"/>
  <c r="C60" i="15"/>
  <c r="C61" i="15"/>
  <c r="C62" i="15"/>
  <c r="C66" i="15"/>
  <c r="C67" i="15"/>
  <c r="C68" i="15"/>
  <c r="C69" i="15"/>
  <c r="C70" i="15"/>
  <c r="C71" i="15"/>
  <c r="C72" i="15"/>
  <c r="C73" i="15"/>
  <c r="C74" i="15"/>
  <c r="C78" i="15"/>
  <c r="C79" i="15"/>
  <c r="C80" i="15"/>
  <c r="C81" i="15"/>
  <c r="C82" i="15"/>
  <c r="C83" i="15"/>
  <c r="C84" i="15"/>
  <c r="C85" i="15"/>
  <c r="C86" i="15"/>
  <c r="C90" i="15"/>
  <c r="C91" i="15"/>
  <c r="C92" i="15"/>
  <c r="C93" i="15"/>
  <c r="C94" i="15"/>
  <c r="C95" i="15"/>
  <c r="C96" i="15"/>
  <c r="C97" i="15"/>
  <c r="C98" i="15"/>
  <c r="C102" i="15"/>
  <c r="C103" i="15"/>
  <c r="C104" i="15"/>
  <c r="C105" i="15"/>
  <c r="C106" i="15"/>
  <c r="C107" i="15"/>
  <c r="C108" i="15"/>
  <c r="C109" i="15"/>
  <c r="C110" i="15"/>
  <c r="C114" i="15"/>
  <c r="C115" i="15"/>
  <c r="C116" i="15"/>
  <c r="C117" i="15"/>
  <c r="C118" i="15"/>
  <c r="C119" i="15"/>
  <c r="C120" i="15"/>
  <c r="C121" i="15"/>
  <c r="C122" i="15"/>
  <c r="C126" i="15"/>
  <c r="C127" i="15"/>
  <c r="C128" i="15"/>
  <c r="C129" i="15"/>
  <c r="C130" i="15"/>
  <c r="C131" i="15"/>
  <c r="C132" i="15"/>
  <c r="C133" i="15"/>
  <c r="C134" i="15"/>
  <c r="C138" i="15"/>
  <c r="C139" i="15"/>
  <c r="C140" i="15"/>
  <c r="C141" i="15"/>
  <c r="C142" i="15"/>
  <c r="C143" i="15"/>
  <c r="C144" i="15"/>
  <c r="C145" i="15"/>
  <c r="C146" i="15"/>
  <c r="C150" i="15"/>
  <c r="C151" i="15"/>
  <c r="C152" i="15"/>
  <c r="C153" i="15"/>
  <c r="C154" i="15"/>
  <c r="C155" i="15"/>
  <c r="C156" i="15"/>
  <c r="C157" i="15"/>
  <c r="C158" i="15"/>
  <c r="C162" i="15"/>
  <c r="C163" i="15"/>
  <c r="C164" i="15"/>
  <c r="C165" i="15"/>
  <c r="C166" i="15"/>
  <c r="C167" i="15"/>
  <c r="C168" i="15"/>
  <c r="C169" i="15"/>
  <c r="C170" i="15"/>
  <c r="C174" i="15"/>
  <c r="C175" i="15"/>
  <c r="C176" i="15"/>
  <c r="C177" i="15"/>
  <c r="C178" i="15"/>
  <c r="C179" i="15"/>
  <c r="C180" i="15"/>
  <c r="C181" i="15"/>
  <c r="C182" i="15"/>
  <c r="C186" i="15"/>
  <c r="C187" i="15"/>
  <c r="C188" i="15"/>
  <c r="C189" i="15"/>
  <c r="C190" i="15"/>
  <c r="C191" i="15"/>
  <c r="C192" i="15"/>
  <c r="C193" i="15"/>
  <c r="C194" i="15"/>
  <c r="C198" i="15"/>
  <c r="C199" i="15"/>
  <c r="C200" i="15"/>
  <c r="C201" i="15"/>
  <c r="C202" i="15"/>
  <c r="C203" i="15"/>
  <c r="C204" i="15"/>
  <c r="C205" i="15"/>
  <c r="C206" i="15"/>
  <c r="C63" i="13"/>
  <c r="C58" i="13"/>
  <c r="D57" i="13"/>
  <c r="C57" i="13"/>
  <c r="D56" i="13"/>
  <c r="C56" i="13"/>
  <c r="D55" i="13"/>
  <c r="C55" i="13"/>
  <c r="D54" i="13"/>
  <c r="C54" i="13"/>
  <c r="D53" i="13"/>
  <c r="C53" i="13"/>
  <c r="C48" i="13"/>
  <c r="C46" i="13"/>
  <c r="C40" i="13"/>
  <c r="D37" i="13"/>
  <c r="C35" i="13"/>
  <c r="C37" i="13" s="1"/>
  <c r="D34" i="13"/>
  <c r="C34" i="13"/>
  <c r="D33" i="13"/>
  <c r="C33" i="13"/>
  <c r="D32" i="13"/>
  <c r="C32" i="13"/>
  <c r="F76" i="2"/>
  <c r="G76" i="2"/>
  <c r="H76" i="2"/>
  <c r="D76" i="2"/>
  <c r="E76" i="2"/>
  <c r="C76" i="2"/>
  <c r="C75" i="2"/>
  <c r="D75" i="2"/>
  <c r="E75" i="2"/>
  <c r="F75" i="2"/>
  <c r="G75" i="2"/>
  <c r="H75" i="2"/>
  <c r="B75" i="2"/>
  <c r="D31" i="13"/>
  <c r="C31" i="13"/>
  <c r="D30" i="13"/>
  <c r="C30" i="13"/>
  <c r="C7" i="13"/>
  <c r="C483" i="15" l="1"/>
  <c r="C495" i="15"/>
  <c r="C507" i="15"/>
  <c r="C519" i="15"/>
  <c r="C531" i="15"/>
  <c r="C543" i="15"/>
  <c r="C555" i="15"/>
  <c r="C567" i="15"/>
  <c r="C579" i="15"/>
  <c r="C591" i="15"/>
  <c r="C603" i="15"/>
  <c r="C615" i="15"/>
  <c r="C627" i="15"/>
  <c r="C639" i="15"/>
  <c r="C651" i="15"/>
  <c r="C663" i="15"/>
  <c r="C675" i="15"/>
  <c r="C687" i="15"/>
  <c r="C699" i="15"/>
  <c r="C486" i="15"/>
  <c r="C510" i="15"/>
  <c r="C534" i="15"/>
  <c r="C570" i="15"/>
  <c r="C594" i="15"/>
  <c r="C630" i="15"/>
  <c r="C654" i="15"/>
  <c r="C690" i="15"/>
  <c r="C523" i="15"/>
  <c r="C559" i="15"/>
  <c r="C619" i="15"/>
  <c r="C655" i="15"/>
  <c r="C691" i="15"/>
  <c r="C512" i="15"/>
  <c r="C548" i="15"/>
  <c r="C572" i="15"/>
  <c r="C608" i="15"/>
  <c r="C632" i="15"/>
  <c r="C668" i="15"/>
  <c r="C475" i="15"/>
  <c r="C477" i="15"/>
  <c r="C489" i="15"/>
  <c r="C513" i="15"/>
  <c r="C537" i="15"/>
  <c r="C561" i="15"/>
  <c r="C597" i="15"/>
  <c r="C621" i="15"/>
  <c r="C657" i="15"/>
  <c r="C693" i="15"/>
  <c r="E25" i="7"/>
  <c r="C484" i="15"/>
  <c r="C496" i="15"/>
  <c r="C508" i="15"/>
  <c r="C520" i="15"/>
  <c r="C532" i="15"/>
  <c r="C544" i="15"/>
  <c r="C556" i="15"/>
  <c r="C568" i="15"/>
  <c r="C580" i="15"/>
  <c r="C592" i="15"/>
  <c r="C604" i="15"/>
  <c r="C616" i="15"/>
  <c r="C628" i="15"/>
  <c r="C640" i="15"/>
  <c r="C652" i="15"/>
  <c r="C664" i="15"/>
  <c r="C676" i="15"/>
  <c r="C688" i="15"/>
  <c r="C700" i="15"/>
  <c r="C498" i="15"/>
  <c r="C522" i="15"/>
  <c r="C546" i="15"/>
  <c r="C582" i="15"/>
  <c r="C606" i="15"/>
  <c r="C642" i="15"/>
  <c r="C678" i="15"/>
  <c r="C499" i="15"/>
  <c r="C535" i="15"/>
  <c r="C571" i="15"/>
  <c r="C607" i="15"/>
  <c r="C643" i="15"/>
  <c r="C679" i="15"/>
  <c r="C488" i="15"/>
  <c r="C536" i="15"/>
  <c r="C584" i="15"/>
  <c r="C620" i="15"/>
  <c r="C656" i="15"/>
  <c r="C692" i="15"/>
  <c r="C501" i="15"/>
  <c r="C525" i="15"/>
  <c r="C549" i="15"/>
  <c r="C585" i="15"/>
  <c r="C609" i="15"/>
  <c r="C645" i="15"/>
  <c r="C681" i="15"/>
  <c r="C485" i="15"/>
  <c r="C497" i="15"/>
  <c r="C509" i="15"/>
  <c r="C521" i="15"/>
  <c r="C533" i="15"/>
  <c r="C545" i="15"/>
  <c r="C557" i="15"/>
  <c r="C569" i="15"/>
  <c r="C581" i="15"/>
  <c r="C593" i="15"/>
  <c r="C605" i="15"/>
  <c r="C617" i="15"/>
  <c r="C629" i="15"/>
  <c r="C641" i="15"/>
  <c r="C653" i="15"/>
  <c r="C665" i="15"/>
  <c r="C677" i="15"/>
  <c r="C689" i="15"/>
  <c r="C701" i="15"/>
  <c r="C558" i="15"/>
  <c r="C618" i="15"/>
  <c r="C666" i="15"/>
  <c r="C702" i="15"/>
  <c r="C487" i="15"/>
  <c r="C511" i="15"/>
  <c r="C547" i="15"/>
  <c r="C583" i="15"/>
  <c r="C595" i="15"/>
  <c r="C631" i="15"/>
  <c r="C667" i="15"/>
  <c r="C703" i="15"/>
  <c r="C476" i="15"/>
  <c r="C500" i="15"/>
  <c r="C524" i="15"/>
  <c r="C560" i="15"/>
  <c r="C596" i="15"/>
  <c r="C644" i="15"/>
  <c r="C680" i="15"/>
  <c r="C573" i="15"/>
  <c r="C633" i="15"/>
  <c r="C669" i="15"/>
  <c r="C478" i="15"/>
  <c r="C514" i="15"/>
  <c r="C526" i="15"/>
  <c r="C538" i="15"/>
  <c r="C686" i="15"/>
  <c r="C634" i="15"/>
  <c r="C601" i="15"/>
  <c r="C575" i="15"/>
  <c r="C542" i="15"/>
  <c r="C480" i="15"/>
  <c r="C719" i="15"/>
  <c r="C479" i="15"/>
  <c r="C684" i="15"/>
  <c r="C658" i="15"/>
  <c r="C625" i="15"/>
  <c r="C599" i="15"/>
  <c r="C566" i="15"/>
  <c r="C540" i="15"/>
  <c r="C504" i="15"/>
  <c r="C745" i="15"/>
  <c r="C709" i="15"/>
  <c r="C683" i="15"/>
  <c r="C650" i="15"/>
  <c r="C624" i="15"/>
  <c r="C598" i="15"/>
  <c r="C565" i="15"/>
  <c r="C539" i="15"/>
  <c r="C503" i="15"/>
  <c r="C744" i="15"/>
  <c r="C515" i="15"/>
  <c r="C481" i="15"/>
  <c r="C660" i="15"/>
  <c r="C506" i="15"/>
  <c r="D25" i="7"/>
  <c r="C710" i="15"/>
  <c r="C722" i="15"/>
  <c r="C734" i="15"/>
  <c r="C746" i="15"/>
  <c r="C713" i="15"/>
  <c r="C737" i="15"/>
  <c r="C738" i="15"/>
  <c r="C739" i="15"/>
  <c r="C728" i="15"/>
  <c r="C729" i="15"/>
  <c r="C711" i="15"/>
  <c r="C723" i="15"/>
  <c r="C735" i="15"/>
  <c r="C747" i="15"/>
  <c r="C725" i="15"/>
  <c r="C726" i="15"/>
  <c r="C704" i="15"/>
  <c r="C715" i="15"/>
  <c r="C740" i="15"/>
  <c r="C717" i="15"/>
  <c r="C741" i="15"/>
  <c r="C712" i="15"/>
  <c r="C724" i="15"/>
  <c r="C736" i="15"/>
  <c r="C748" i="15"/>
  <c r="C749" i="15"/>
  <c r="C714" i="15"/>
  <c r="C727" i="15"/>
  <c r="C716" i="15"/>
  <c r="C705" i="15"/>
  <c r="C685" i="15"/>
  <c r="C659" i="15"/>
  <c r="C626" i="15"/>
  <c r="C600" i="15"/>
  <c r="C574" i="15"/>
  <c r="C541" i="15"/>
  <c r="C505" i="15"/>
  <c r="C718" i="15"/>
  <c r="C682" i="15"/>
  <c r="C649" i="15"/>
  <c r="C623" i="15"/>
  <c r="C590" i="15"/>
  <c r="C564" i="15"/>
  <c r="C530" i="15"/>
  <c r="C502" i="15"/>
  <c r="C743" i="15"/>
  <c r="C707" i="15"/>
  <c r="C197" i="15"/>
  <c r="C185" i="15"/>
  <c r="C173" i="15"/>
  <c r="C161" i="15"/>
  <c r="C149" i="15"/>
  <c r="C137" i="15"/>
  <c r="C125" i="15"/>
  <c r="C113" i="15"/>
  <c r="C101" i="15"/>
  <c r="C89" i="15"/>
  <c r="C77" i="15"/>
  <c r="C65" i="15"/>
  <c r="C53" i="15"/>
  <c r="C41" i="15"/>
  <c r="C29" i="15"/>
  <c r="C17" i="15"/>
  <c r="C196" i="15"/>
  <c r="C184" i="15"/>
  <c r="C172" i="15"/>
  <c r="C160" i="15"/>
  <c r="C148" i="15"/>
  <c r="C136" i="15"/>
  <c r="C124" i="15"/>
  <c r="C112" i="15"/>
  <c r="C100" i="15"/>
  <c r="C88" i="15"/>
  <c r="C76" i="15"/>
  <c r="C64" i="15"/>
  <c r="C52" i="15"/>
  <c r="C40" i="15"/>
  <c r="C28" i="15"/>
  <c r="C16" i="15"/>
  <c r="C6" i="15"/>
  <c r="D6" i="15" s="1"/>
  <c r="C195" i="15"/>
  <c r="C183" i="15"/>
  <c r="C171" i="15"/>
  <c r="C159" i="15"/>
  <c r="C147" i="15"/>
  <c r="C135" i="15"/>
  <c r="C123" i="15"/>
  <c r="C111" i="15"/>
  <c r="C99" i="15"/>
  <c r="C87" i="15"/>
  <c r="C75" i="15"/>
  <c r="C63" i="15"/>
  <c r="C51" i="15"/>
  <c r="C39" i="15"/>
  <c r="C27" i="15"/>
  <c r="B7" i="5"/>
  <c r="C7" i="5"/>
  <c r="D7" i="5"/>
  <c r="E7" i="5"/>
  <c r="F7" i="5"/>
  <c r="G7" i="5"/>
  <c r="H7" i="5"/>
  <c r="B8" i="5"/>
  <c r="C8" i="5"/>
  <c r="D8" i="5"/>
  <c r="E8" i="5"/>
  <c r="F8" i="5"/>
  <c r="G8" i="5"/>
  <c r="H8" i="5"/>
  <c r="B9" i="5"/>
  <c r="C9" i="5"/>
  <c r="D9" i="5"/>
  <c r="E9" i="5"/>
  <c r="F9" i="5"/>
  <c r="G9" i="5"/>
  <c r="H9" i="5"/>
  <c r="B11" i="5"/>
  <c r="C11" i="5"/>
  <c r="D11" i="5"/>
  <c r="E11" i="5"/>
  <c r="F11" i="5"/>
  <c r="G11" i="5"/>
  <c r="H11" i="5"/>
  <c r="B12" i="5"/>
  <c r="C12" i="5"/>
  <c r="D12" i="5"/>
  <c r="E12" i="5"/>
  <c r="F12" i="5"/>
  <c r="G12" i="5"/>
  <c r="H12" i="5"/>
  <c r="B13" i="5"/>
  <c r="C13" i="5"/>
  <c r="D13" i="5"/>
  <c r="E13" i="5"/>
  <c r="F13" i="5"/>
  <c r="G13" i="5"/>
  <c r="H13" i="5"/>
  <c r="B14" i="5"/>
  <c r="C14" i="5"/>
  <c r="D14" i="5"/>
  <c r="E14" i="5"/>
  <c r="F14" i="5"/>
  <c r="G14" i="5"/>
  <c r="H14" i="5"/>
  <c r="B15" i="5"/>
  <c r="C15" i="5"/>
  <c r="D15" i="5"/>
  <c r="E15" i="5"/>
  <c r="F15" i="5"/>
  <c r="G15" i="5"/>
  <c r="H15" i="5"/>
  <c r="B17" i="5"/>
  <c r="C17" i="5"/>
  <c r="D17" i="5"/>
  <c r="E17" i="5"/>
  <c r="F17" i="5"/>
  <c r="G17" i="5"/>
  <c r="H17" i="5"/>
  <c r="B18" i="5"/>
  <c r="C18" i="5"/>
  <c r="D18" i="5"/>
  <c r="E18" i="5"/>
  <c r="F18" i="5"/>
  <c r="G18" i="5"/>
  <c r="H18" i="5"/>
  <c r="B19" i="5"/>
  <c r="C19" i="5"/>
  <c r="D19" i="5"/>
  <c r="E19" i="5"/>
  <c r="F19" i="5"/>
  <c r="G19" i="5"/>
  <c r="H19" i="5"/>
  <c r="B20" i="5"/>
  <c r="C20" i="5"/>
  <c r="D20" i="5"/>
  <c r="E20" i="5"/>
  <c r="F20" i="5"/>
  <c r="G20" i="5"/>
  <c r="H20" i="5"/>
  <c r="B22" i="5"/>
  <c r="C22" i="5"/>
  <c r="D22" i="5"/>
  <c r="E22" i="5"/>
  <c r="F22" i="5"/>
  <c r="B23" i="5"/>
  <c r="C23" i="5"/>
  <c r="D23" i="5"/>
  <c r="E23" i="5"/>
  <c r="F23" i="5"/>
  <c r="B24" i="5"/>
  <c r="C24" i="5"/>
  <c r="D24" i="5"/>
  <c r="E24" i="5"/>
  <c r="F24" i="5"/>
  <c r="G24" i="5"/>
  <c r="H24" i="5"/>
  <c r="B26" i="5"/>
  <c r="C26" i="5"/>
  <c r="D26" i="5"/>
  <c r="E26" i="5"/>
  <c r="F26" i="5"/>
  <c r="B27" i="5"/>
  <c r="C27" i="5"/>
  <c r="D27" i="5"/>
  <c r="E27" i="5"/>
  <c r="F27" i="5"/>
  <c r="G27" i="5"/>
  <c r="H27" i="5"/>
  <c r="B29" i="5"/>
  <c r="C29" i="5"/>
  <c r="D29" i="5"/>
  <c r="E29" i="5"/>
  <c r="F29" i="5"/>
  <c r="B30" i="5"/>
  <c r="C30" i="5"/>
  <c r="D30" i="5"/>
  <c r="E30" i="5"/>
  <c r="F30" i="5"/>
  <c r="B31" i="5"/>
  <c r="C31" i="5"/>
  <c r="D31" i="5"/>
  <c r="E31" i="5"/>
  <c r="F31" i="5"/>
  <c r="G6" i="1" l="1"/>
  <c r="C22" i="1"/>
  <c r="D22" i="1"/>
  <c r="E22" i="1"/>
  <c r="F22" i="1"/>
  <c r="B22" i="1"/>
  <c r="G22" i="1" s="1"/>
  <c r="C24" i="1"/>
  <c r="D24" i="1"/>
  <c r="E24" i="1"/>
  <c r="F24" i="1"/>
  <c r="B24" i="1"/>
  <c r="G24" i="1" s="1"/>
  <c r="G23" i="1" s="1"/>
  <c r="G8" i="4" s="1"/>
  <c r="C28" i="1"/>
  <c r="D28" i="1"/>
  <c r="E28" i="1"/>
  <c r="F28" i="1"/>
  <c r="B28" i="1"/>
  <c r="H52" i="4"/>
  <c r="H53" i="4"/>
  <c r="H50" i="4"/>
  <c r="G50" i="4"/>
  <c r="G52" i="4"/>
  <c r="G53" i="4"/>
  <c r="H38" i="4"/>
  <c r="H41" i="4"/>
  <c r="H42" i="4"/>
  <c r="H43" i="4"/>
  <c r="H44" i="4"/>
  <c r="H45" i="4"/>
  <c r="G38" i="4"/>
  <c r="G41" i="4"/>
  <c r="G42" i="4"/>
  <c r="G43" i="4"/>
  <c r="G44" i="4"/>
  <c r="G37" i="4"/>
  <c r="H10" i="4"/>
  <c r="H13" i="4"/>
  <c r="H16" i="4"/>
  <c r="H18" i="4"/>
  <c r="H19" i="4"/>
  <c r="H20" i="4"/>
  <c r="G10" i="4"/>
  <c r="G13" i="4"/>
  <c r="G16" i="4"/>
  <c r="G18" i="4"/>
  <c r="G19" i="4"/>
  <c r="G20" i="4"/>
  <c r="G10" i="2"/>
  <c r="H10" i="2" s="1"/>
  <c r="G67" i="2"/>
  <c r="H67" i="2"/>
  <c r="H66" i="2"/>
  <c r="G66" i="2"/>
  <c r="G65" i="2"/>
  <c r="H65" i="2" s="1"/>
  <c r="H64" i="2"/>
  <c r="G64" i="2"/>
  <c r="G63" i="2"/>
  <c r="H63" i="2" s="1"/>
  <c r="G57" i="2"/>
  <c r="H57" i="2" s="1"/>
  <c r="G50" i="2"/>
  <c r="H50" i="2"/>
  <c r="G49" i="2"/>
  <c r="H49" i="2" s="1"/>
  <c r="G48" i="2"/>
  <c r="H48" i="2" s="1"/>
  <c r="G47" i="2"/>
  <c r="G56" i="4" s="1"/>
  <c r="G32" i="2"/>
  <c r="H32" i="2" s="1"/>
  <c r="H31" i="2"/>
  <c r="G31" i="2"/>
  <c r="G27" i="4" s="1"/>
  <c r="G30" i="2"/>
  <c r="H30" i="2" s="1"/>
  <c r="G28" i="2"/>
  <c r="H28" i="2" s="1"/>
  <c r="H27" i="4" s="1"/>
  <c r="G17" i="2"/>
  <c r="H17" i="2" s="1"/>
  <c r="G16" i="2"/>
  <c r="H16" i="2" s="1"/>
  <c r="G15" i="2"/>
  <c r="H15" i="2" s="1"/>
  <c r="G14" i="2"/>
  <c r="H14" i="2" s="1"/>
  <c r="D60" i="4"/>
  <c r="E60" i="4"/>
  <c r="F60" i="4"/>
  <c r="G29" i="2"/>
  <c r="H29" i="2" s="1"/>
  <c r="G24" i="2"/>
  <c r="H24" i="2" s="1"/>
  <c r="G46" i="2"/>
  <c r="G55" i="4" s="1"/>
  <c r="G45" i="2"/>
  <c r="G54" i="4" s="1"/>
  <c r="H56" i="2"/>
  <c r="G56" i="2"/>
  <c r="G55" i="2"/>
  <c r="H55" i="2" s="1"/>
  <c r="G38" i="2"/>
  <c r="G60" i="4" s="1"/>
  <c r="G13" i="2"/>
  <c r="H12" i="2"/>
  <c r="G12" i="2"/>
  <c r="G9" i="2"/>
  <c r="G45" i="4" s="1"/>
  <c r="C62" i="2"/>
  <c r="D62" i="2"/>
  <c r="E62" i="2"/>
  <c r="F62" i="2"/>
  <c r="B62" i="2"/>
  <c r="C60" i="2"/>
  <c r="D60" i="2"/>
  <c r="E60" i="2"/>
  <c r="F60" i="2"/>
  <c r="B60" i="2"/>
  <c r="H37" i="4"/>
  <c r="H28" i="4" l="1"/>
  <c r="H47" i="2"/>
  <c r="H56" i="4" s="1"/>
  <c r="H45" i="2"/>
  <c r="H46" i="2"/>
  <c r="H55" i="4" s="1"/>
  <c r="G28" i="4"/>
  <c r="G57" i="4"/>
  <c r="H13" i="2"/>
  <c r="H57" i="4" s="1"/>
  <c r="G59" i="4"/>
  <c r="H38" i="2"/>
  <c r="H60" i="4" s="1"/>
  <c r="H51" i="2"/>
  <c r="H51" i="4" s="1"/>
  <c r="H9" i="2"/>
  <c r="G23" i="5"/>
  <c r="G21" i="1"/>
  <c r="G22" i="5" s="1"/>
  <c r="H22" i="1"/>
  <c r="H24" i="1"/>
  <c r="H23" i="1" s="1"/>
  <c r="H8" i="4" s="1"/>
  <c r="G28" i="1"/>
  <c r="H28" i="1"/>
  <c r="G62" i="2"/>
  <c r="H62" i="2"/>
  <c r="G60" i="2"/>
  <c r="G30" i="4"/>
  <c r="G51" i="2"/>
  <c r="G51" i="4" s="1"/>
  <c r="C61" i="4"/>
  <c r="D61" i="4"/>
  <c r="E61" i="4"/>
  <c r="F61" i="4"/>
  <c r="F22" i="4"/>
  <c r="F32" i="4" s="1"/>
  <c r="F34" i="4" s="1"/>
  <c r="F18" i="2"/>
  <c r="D18" i="7"/>
  <c r="E18" i="7"/>
  <c r="F18" i="7"/>
  <c r="G18" i="7"/>
  <c r="D48" i="7"/>
  <c r="E48" i="7"/>
  <c r="F48" i="7"/>
  <c r="G48" i="7"/>
  <c r="D46" i="7"/>
  <c r="D47" i="7" s="1"/>
  <c r="D24" i="7"/>
  <c r="E24" i="7"/>
  <c r="F24" i="7"/>
  <c r="G24" i="7"/>
  <c r="C18" i="7"/>
  <c r="C24" i="7"/>
  <c r="I6" i="7"/>
  <c r="H6" i="7"/>
  <c r="G8" i="12"/>
  <c r="G9" i="12" s="1"/>
  <c r="D7" i="12"/>
  <c r="E7" i="12"/>
  <c r="F7" i="12"/>
  <c r="C7" i="12"/>
  <c r="G7" i="12" s="1"/>
  <c r="G6" i="12" s="1"/>
  <c r="A41" i="1"/>
  <c r="B41" i="1"/>
  <c r="C41" i="1"/>
  <c r="D41" i="1"/>
  <c r="E41" i="1"/>
  <c r="F41" i="1"/>
  <c r="A44" i="1"/>
  <c r="B44" i="1"/>
  <c r="C44" i="1"/>
  <c r="C45" i="1" s="1"/>
  <c r="D44" i="1"/>
  <c r="E44" i="1"/>
  <c r="F44" i="1"/>
  <c r="A47" i="1"/>
  <c r="B47" i="1"/>
  <c r="C47" i="1"/>
  <c r="D47" i="1"/>
  <c r="E47" i="1"/>
  <c r="F47" i="1"/>
  <c r="A50" i="1"/>
  <c r="B50" i="1"/>
  <c r="C50" i="1"/>
  <c r="D50" i="1"/>
  <c r="E50" i="1"/>
  <c r="F50" i="1"/>
  <c r="A38" i="1"/>
  <c r="B38" i="1"/>
  <c r="C38" i="1"/>
  <c r="D38" i="1"/>
  <c r="E38" i="1"/>
  <c r="F38" i="1"/>
  <c r="E8" i="1"/>
  <c r="F46" i="7" s="1"/>
  <c r="F47" i="7" s="1"/>
  <c r="H6" i="1"/>
  <c r="H8" i="1" s="1"/>
  <c r="I46" i="7" s="1"/>
  <c r="I47" i="7" s="1"/>
  <c r="G8" i="1"/>
  <c r="B15" i="11"/>
  <c r="C15" i="11"/>
  <c r="D15" i="11"/>
  <c r="E15" i="11"/>
  <c r="F15" i="11"/>
  <c r="G15" i="11"/>
  <c r="H15" i="11"/>
  <c r="H12" i="11"/>
  <c r="G12" i="11"/>
  <c r="D13" i="11"/>
  <c r="E13" i="11"/>
  <c r="F13" i="11"/>
  <c r="H9" i="11"/>
  <c r="G9" i="11"/>
  <c r="G6" i="11"/>
  <c r="H6" i="11" s="1"/>
  <c r="C13" i="11"/>
  <c r="D10" i="11"/>
  <c r="E10" i="11"/>
  <c r="F10" i="11"/>
  <c r="C10" i="11"/>
  <c r="D7" i="11"/>
  <c r="E7" i="11"/>
  <c r="F7" i="11"/>
  <c r="C7" i="11"/>
  <c r="E9" i="12"/>
  <c r="F9" i="12"/>
  <c r="D9" i="12"/>
  <c r="C9" i="12"/>
  <c r="B9" i="12"/>
  <c r="B8" i="1"/>
  <c r="C46" i="4"/>
  <c r="D46" i="4"/>
  <c r="E46" i="4"/>
  <c r="F46" i="4"/>
  <c r="C22" i="4"/>
  <c r="C32" i="4" s="1"/>
  <c r="C34" i="4" s="1"/>
  <c r="D22" i="4"/>
  <c r="D32" i="4" s="1"/>
  <c r="D34" i="4" s="1"/>
  <c r="E22" i="4"/>
  <c r="E32" i="4" s="1"/>
  <c r="E34" i="4" s="1"/>
  <c r="C64" i="4"/>
  <c r="D64" i="4"/>
  <c r="E64" i="4"/>
  <c r="F64" i="4"/>
  <c r="G63" i="4" s="1"/>
  <c r="G64" i="4" s="1"/>
  <c r="C33" i="2"/>
  <c r="D33" i="2"/>
  <c r="E33" i="2"/>
  <c r="F33" i="2"/>
  <c r="C8" i="1"/>
  <c r="C26" i="2" s="1"/>
  <c r="D8" i="1"/>
  <c r="E46" i="7" s="1"/>
  <c r="E47" i="7" s="1"/>
  <c r="F8" i="1"/>
  <c r="G17" i="7" s="1"/>
  <c r="C48" i="7"/>
  <c r="E6" i="7"/>
  <c r="E8" i="7" s="1"/>
  <c r="F6" i="7"/>
  <c r="F8" i="7" s="1"/>
  <c r="G6" i="7"/>
  <c r="G8" i="7" s="1"/>
  <c r="D6" i="7"/>
  <c r="D8" i="7" s="1"/>
  <c r="C6" i="7"/>
  <c r="C8" i="7" s="1"/>
  <c r="B18" i="2"/>
  <c r="C18" i="2"/>
  <c r="D18" i="2"/>
  <c r="E18" i="2"/>
  <c r="C40" i="2"/>
  <c r="D33" i="7" s="1"/>
  <c r="D40" i="2"/>
  <c r="E40" i="2"/>
  <c r="F44" i="7" s="1"/>
  <c r="F40" i="2"/>
  <c r="C51" i="2"/>
  <c r="D51" i="2"/>
  <c r="E51" i="2"/>
  <c r="F51" i="2"/>
  <c r="C68" i="2"/>
  <c r="D68" i="2"/>
  <c r="E68" i="2"/>
  <c r="F68" i="2"/>
  <c r="B64" i="4"/>
  <c r="B61" i="4"/>
  <c r="B46" i="4"/>
  <c r="B22" i="4"/>
  <c r="B32" i="4" s="1"/>
  <c r="B34" i="4" s="1"/>
  <c r="E10" i="1"/>
  <c r="E22" i="2" s="1"/>
  <c r="F10" i="1"/>
  <c r="F22" i="2" s="1"/>
  <c r="B68" i="2"/>
  <c r="B51" i="2"/>
  <c r="B40" i="2"/>
  <c r="C45" i="7" s="1"/>
  <c r="B33" i="2"/>
  <c r="D10" i="1"/>
  <c r="D22" i="2" s="1"/>
  <c r="C10" i="1"/>
  <c r="C22" i="2" s="1"/>
  <c r="B10" i="1"/>
  <c r="B22" i="2" s="1"/>
  <c r="E14" i="7" l="1"/>
  <c r="D14" i="7"/>
  <c r="B50" i="6"/>
  <c r="H54" i="4"/>
  <c r="H59" i="4"/>
  <c r="E50" i="6"/>
  <c r="C14" i="7"/>
  <c r="B65" i="6"/>
  <c r="F65" i="6"/>
  <c r="H27" i="1"/>
  <c r="H11" i="4" s="1"/>
  <c r="H29" i="5"/>
  <c r="H23" i="5"/>
  <c r="H21" i="1"/>
  <c r="H22" i="5" s="1"/>
  <c r="G27" i="1"/>
  <c r="G11" i="4" s="1"/>
  <c r="G29" i="5"/>
  <c r="H60" i="2"/>
  <c r="H30" i="4" s="1"/>
  <c r="H46" i="7"/>
  <c r="H47" i="7" s="1"/>
  <c r="D39" i="1"/>
  <c r="C48" i="1"/>
  <c r="F17" i="7"/>
  <c r="E39" i="1"/>
  <c r="D42" i="1"/>
  <c r="C39" i="1"/>
  <c r="C42" i="1"/>
  <c r="E17" i="7"/>
  <c r="E42" i="1"/>
  <c r="D48" i="1"/>
  <c r="F45" i="1"/>
  <c r="E48" i="1"/>
  <c r="F51" i="1"/>
  <c r="E51" i="1"/>
  <c r="E45" i="1"/>
  <c r="D51" i="1"/>
  <c r="D45" i="1"/>
  <c r="G22" i="2"/>
  <c r="H22" i="2"/>
  <c r="B48" i="1"/>
  <c r="C17" i="7"/>
  <c r="F26" i="2"/>
  <c r="C51" i="1"/>
  <c r="D17" i="7"/>
  <c r="D26" i="2"/>
  <c r="B45" i="1"/>
  <c r="G45" i="1" s="1"/>
  <c r="G44" i="1" s="1"/>
  <c r="G13" i="1" s="1"/>
  <c r="B39" i="1"/>
  <c r="G39" i="1" s="1"/>
  <c r="G38" i="1" s="1"/>
  <c r="G20" i="7"/>
  <c r="E26" i="2"/>
  <c r="G39" i="4"/>
  <c r="F39" i="1"/>
  <c r="F48" i="1"/>
  <c r="F42" i="1"/>
  <c r="H8" i="12"/>
  <c r="H9" i="12" s="1"/>
  <c r="H8" i="2" s="1"/>
  <c r="B26" i="2"/>
  <c r="G40" i="4"/>
  <c r="G8" i="2"/>
  <c r="G46" i="7"/>
  <c r="G47" i="7" s="1"/>
  <c r="G44" i="7"/>
  <c r="E34" i="2"/>
  <c r="E30" i="6" s="1"/>
  <c r="E13" i="7"/>
  <c r="D13" i="7"/>
  <c r="F69" i="2"/>
  <c r="F66" i="6" s="1"/>
  <c r="E69" i="2"/>
  <c r="E66" i="6" s="1"/>
  <c r="G13" i="7"/>
  <c r="F14" i="7"/>
  <c r="G14" i="7"/>
  <c r="F13" i="7"/>
  <c r="F12" i="7"/>
  <c r="E12" i="7"/>
  <c r="D12" i="7"/>
  <c r="F34" i="2"/>
  <c r="D34" i="2"/>
  <c r="G12" i="7"/>
  <c r="C34" i="2"/>
  <c r="C50" i="6" s="1"/>
  <c r="E44" i="7"/>
  <c r="D44" i="7"/>
  <c r="C12" i="7"/>
  <c r="C13" i="7"/>
  <c r="G33" i="7"/>
  <c r="C33" i="7"/>
  <c r="F33" i="7"/>
  <c r="E33" i="7"/>
  <c r="C69" i="2"/>
  <c r="C66" i="6" s="1"/>
  <c r="H7" i="12"/>
  <c r="H6" i="12" s="1"/>
  <c r="B51" i="1"/>
  <c r="B42" i="1"/>
  <c r="D14" i="1"/>
  <c r="C46" i="7"/>
  <c r="C47" i="7" s="1"/>
  <c r="B14" i="1"/>
  <c r="E11" i="6"/>
  <c r="F14" i="1"/>
  <c r="E14" i="1"/>
  <c r="C14" i="1"/>
  <c r="B69" i="2"/>
  <c r="B66" i="6" s="1"/>
  <c r="D69" i="2"/>
  <c r="B34" i="2"/>
  <c r="F48" i="6" l="1"/>
  <c r="F64" i="6"/>
  <c r="F55" i="6"/>
  <c r="F45" i="6"/>
  <c r="F56" i="6"/>
  <c r="F63" i="6"/>
  <c r="F46" i="6"/>
  <c r="F62" i="6"/>
  <c r="F54" i="6"/>
  <c r="F61" i="6"/>
  <c r="F44" i="6"/>
  <c r="F60" i="6"/>
  <c r="F49" i="6"/>
  <c r="F58" i="6"/>
  <c r="F47" i="6"/>
  <c r="F59" i="6"/>
  <c r="D28" i="6"/>
  <c r="D46" i="6"/>
  <c r="D62" i="6"/>
  <c r="D59" i="6"/>
  <c r="D54" i="6"/>
  <c r="D44" i="6"/>
  <c r="D60" i="6"/>
  <c r="D49" i="6"/>
  <c r="D58" i="6"/>
  <c r="D48" i="6"/>
  <c r="D47" i="6"/>
  <c r="D63" i="6"/>
  <c r="D55" i="6"/>
  <c r="D64" i="6"/>
  <c r="D45" i="6"/>
  <c r="D61" i="6"/>
  <c r="D56" i="6"/>
  <c r="D50" i="6"/>
  <c r="C65" i="6"/>
  <c r="C54" i="6"/>
  <c r="C44" i="6"/>
  <c r="C60" i="6"/>
  <c r="C59" i="6"/>
  <c r="C49" i="6"/>
  <c r="C48" i="6"/>
  <c r="C64" i="6"/>
  <c r="C56" i="6"/>
  <c r="C58" i="6"/>
  <c r="C47" i="6"/>
  <c r="C63" i="6"/>
  <c r="C55" i="6"/>
  <c r="C45" i="6"/>
  <c r="C61" i="6"/>
  <c r="C46" i="6"/>
  <c r="C62" i="6"/>
  <c r="F50" i="6"/>
  <c r="D65" i="6"/>
  <c r="E9" i="6"/>
  <c r="E56" i="6"/>
  <c r="E59" i="6"/>
  <c r="E46" i="6"/>
  <c r="E62" i="6"/>
  <c r="E54" i="6"/>
  <c r="E44" i="6"/>
  <c r="E60" i="6"/>
  <c r="E49" i="6"/>
  <c r="E55" i="6"/>
  <c r="E61" i="6"/>
  <c r="E58" i="6"/>
  <c r="E47" i="6"/>
  <c r="E63" i="6"/>
  <c r="E45" i="6"/>
  <c r="E48" i="6"/>
  <c r="E64" i="6"/>
  <c r="E14" i="6"/>
  <c r="B44" i="6"/>
  <c r="B60" i="6"/>
  <c r="B49" i="6"/>
  <c r="B46" i="6"/>
  <c r="B58" i="6"/>
  <c r="B47" i="6"/>
  <c r="B63" i="6"/>
  <c r="B62" i="6"/>
  <c r="B55" i="6"/>
  <c r="B56" i="6"/>
  <c r="B45" i="6"/>
  <c r="B61" i="6"/>
  <c r="B48" i="6"/>
  <c r="B59" i="6"/>
  <c r="B64" i="6"/>
  <c r="B54" i="6"/>
  <c r="D66" i="6"/>
  <c r="E65" i="6"/>
  <c r="G18" i="2"/>
  <c r="H18" i="2"/>
  <c r="C20" i="7"/>
  <c r="F20" i="7"/>
  <c r="G48" i="1"/>
  <c r="G47" i="1" s="1"/>
  <c r="G17" i="1" s="1"/>
  <c r="H48" i="1"/>
  <c r="H47" i="1" s="1"/>
  <c r="H17" i="1" s="1"/>
  <c r="G42" i="1"/>
  <c r="G41" i="1" s="1"/>
  <c r="G12" i="1" s="1"/>
  <c r="E20" i="7"/>
  <c r="H39" i="4"/>
  <c r="D20" i="7"/>
  <c r="H40" i="4"/>
  <c r="G46" i="4"/>
  <c r="G21" i="4"/>
  <c r="G11" i="1"/>
  <c r="G26" i="2"/>
  <c r="G51" i="1"/>
  <c r="G50" i="1" s="1"/>
  <c r="G18" i="1" s="1"/>
  <c r="H45" i="1"/>
  <c r="H44" i="1" s="1"/>
  <c r="H13" i="1" s="1"/>
  <c r="E26" i="6"/>
  <c r="E71" i="2"/>
  <c r="C14" i="6"/>
  <c r="E22" i="6"/>
  <c r="E28" i="6"/>
  <c r="E13" i="6"/>
  <c r="E29" i="6"/>
  <c r="E31" i="6"/>
  <c r="E25" i="6"/>
  <c r="E32" i="6"/>
  <c r="B39" i="6"/>
  <c r="B71" i="2"/>
  <c r="F71" i="2"/>
  <c r="F37" i="6"/>
  <c r="E15" i="6"/>
  <c r="E38" i="6"/>
  <c r="E39" i="6"/>
  <c r="E10" i="6"/>
  <c r="E18" i="6"/>
  <c r="C71" i="2"/>
  <c r="E24" i="6"/>
  <c r="D26" i="6"/>
  <c r="D71" i="2"/>
  <c r="E37" i="6"/>
  <c r="C30" i="6"/>
  <c r="D15" i="6"/>
  <c r="E33" i="6"/>
  <c r="E27" i="6"/>
  <c r="E16" i="6"/>
  <c r="E17" i="6"/>
  <c r="C33" i="6"/>
  <c r="C18" i="6"/>
  <c r="F38" i="6"/>
  <c r="C17" i="6"/>
  <c r="C24" i="6"/>
  <c r="C25" i="6"/>
  <c r="C39" i="6"/>
  <c r="C38" i="6"/>
  <c r="D10" i="6"/>
  <c r="C32" i="6"/>
  <c r="C28" i="6"/>
  <c r="C31" i="6"/>
  <c r="C22" i="6"/>
  <c r="D31" i="6"/>
  <c r="D16" i="6"/>
  <c r="F32" i="6"/>
  <c r="D18" i="6"/>
  <c r="D39" i="6"/>
  <c r="D22" i="6"/>
  <c r="F22" i="6"/>
  <c r="D17" i="6"/>
  <c r="F28" i="6"/>
  <c r="F16" i="6"/>
  <c r="D13" i="6"/>
  <c r="F30" i="6"/>
  <c r="F15" i="6"/>
  <c r="D33" i="6"/>
  <c r="D27" i="6"/>
  <c r="D14" i="6"/>
  <c r="F13" i="6"/>
  <c r="F17" i="6"/>
  <c r="D38" i="6"/>
  <c r="F27" i="6"/>
  <c r="F33" i="6"/>
  <c r="F31" i="6"/>
  <c r="F18" i="6"/>
  <c r="D30" i="6"/>
  <c r="F29" i="6"/>
  <c r="F39" i="6"/>
  <c r="D11" i="6"/>
  <c r="F10" i="6"/>
  <c r="D32" i="6"/>
  <c r="D29" i="6"/>
  <c r="D37" i="6"/>
  <c r="F11" i="6"/>
  <c r="F25" i="6"/>
  <c r="F24" i="6"/>
  <c r="D25" i="6"/>
  <c r="F26" i="6"/>
  <c r="F14" i="6"/>
  <c r="F9" i="6"/>
  <c r="D9" i="6"/>
  <c r="C19" i="6"/>
  <c r="C16" i="6"/>
  <c r="C9" i="6"/>
  <c r="C13" i="6"/>
  <c r="C29" i="6"/>
  <c r="C15" i="6"/>
  <c r="C11" i="6"/>
  <c r="C10" i="6"/>
  <c r="C26" i="6"/>
  <c r="C27" i="6"/>
  <c r="C37" i="6"/>
  <c r="D24" i="6"/>
  <c r="B15" i="6"/>
  <c r="B30" i="6"/>
  <c r="B24" i="6"/>
  <c r="B25" i="6"/>
  <c r="B27" i="6"/>
  <c r="B28" i="6"/>
  <c r="B29" i="6"/>
  <c r="B16" i="6"/>
  <c r="B31" i="6"/>
  <c r="B9" i="6"/>
  <c r="B17" i="6"/>
  <c r="B18" i="6"/>
  <c r="B37" i="6"/>
  <c r="F19" i="6"/>
  <c r="B19" i="6"/>
  <c r="B38" i="6"/>
  <c r="B22" i="6"/>
  <c r="B33" i="6"/>
  <c r="B10" i="6"/>
  <c r="B26" i="6"/>
  <c r="B11" i="6"/>
  <c r="B13" i="6"/>
  <c r="B14" i="6"/>
  <c r="D19" i="6"/>
  <c r="E19" i="6"/>
  <c r="B32" i="6"/>
  <c r="H39" i="1"/>
  <c r="H38" i="1" s="1"/>
  <c r="D19" i="1"/>
  <c r="E19" i="1"/>
  <c r="F19" i="1"/>
  <c r="C19" i="1"/>
  <c r="D27" i="7" s="1"/>
  <c r="B19" i="1"/>
  <c r="C27" i="7" s="1"/>
  <c r="G25" i="2" l="1"/>
  <c r="H42" i="1"/>
  <c r="H41" i="1" s="1"/>
  <c r="H12" i="1" s="1"/>
  <c r="H46" i="4"/>
  <c r="G26" i="4"/>
  <c r="H17" i="7"/>
  <c r="F25" i="1"/>
  <c r="G27" i="7"/>
  <c r="H21" i="4"/>
  <c r="H11" i="1"/>
  <c r="H51" i="1"/>
  <c r="H50" i="1" s="1"/>
  <c r="H18" i="1" s="1"/>
  <c r="G59" i="2"/>
  <c r="G61" i="2"/>
  <c r="G10" i="1"/>
  <c r="E25" i="1"/>
  <c r="F27" i="7"/>
  <c r="E27" i="7"/>
  <c r="H26" i="2"/>
  <c r="D25" i="1"/>
  <c r="B25" i="1"/>
  <c r="C28" i="7" s="1"/>
  <c r="C25" i="1"/>
  <c r="H25" i="2" l="1"/>
  <c r="G31" i="4"/>
  <c r="G29" i="4"/>
  <c r="H18" i="7"/>
  <c r="G68" i="2"/>
  <c r="H10" i="1"/>
  <c r="H61" i="2"/>
  <c r="H59" i="2"/>
  <c r="F29" i="1"/>
  <c r="G34" i="7"/>
  <c r="G28" i="7"/>
  <c r="E29" i="1"/>
  <c r="F28" i="7"/>
  <c r="F34" i="7"/>
  <c r="H20" i="7"/>
  <c r="G21" i="2"/>
  <c r="G14" i="1"/>
  <c r="E34" i="7"/>
  <c r="E28" i="7"/>
  <c r="H26" i="4"/>
  <c r="I17" i="7"/>
  <c r="C29" i="1"/>
  <c r="D34" i="7"/>
  <c r="D28" i="7"/>
  <c r="D29" i="1"/>
  <c r="B29" i="1"/>
  <c r="C34" i="7"/>
  <c r="H31" i="4" l="1"/>
  <c r="G19" i="1"/>
  <c r="H14" i="1"/>
  <c r="H19" i="1" s="1"/>
  <c r="I20" i="7"/>
  <c r="H21" i="2"/>
  <c r="C32" i="1"/>
  <c r="D29" i="7"/>
  <c r="F29" i="7"/>
  <c r="E32" i="1"/>
  <c r="B32" i="1"/>
  <c r="C29" i="7"/>
  <c r="F32" i="1"/>
  <c r="G29" i="7"/>
  <c r="H29" i="4"/>
  <c r="I18" i="7"/>
  <c r="H68" i="2"/>
  <c r="G26" i="5"/>
  <c r="H27" i="7"/>
  <c r="E29" i="7"/>
  <c r="D32" i="1"/>
  <c r="G25" i="4"/>
  <c r="B34" i="1"/>
  <c r="H25" i="4" l="1"/>
  <c r="G32" i="1"/>
  <c r="G15" i="4" s="1"/>
  <c r="F30" i="7"/>
  <c r="F37" i="7"/>
  <c r="F40" i="7"/>
  <c r="H32" i="1"/>
  <c r="H15" i="4" s="1"/>
  <c r="E43" i="7"/>
  <c r="E30" i="7"/>
  <c r="E37" i="7"/>
  <c r="E40" i="7"/>
  <c r="G29" i="1"/>
  <c r="G30" i="5" s="1"/>
  <c r="G9" i="4"/>
  <c r="H28" i="7"/>
  <c r="H34" i="7"/>
  <c r="C25" i="7"/>
  <c r="C26" i="7" s="1"/>
  <c r="C30" i="7"/>
  <c r="D30" i="7"/>
  <c r="D43" i="7"/>
  <c r="D37" i="7"/>
  <c r="D40" i="7"/>
  <c r="G30" i="7"/>
  <c r="G37" i="7"/>
  <c r="G40" i="7"/>
  <c r="H25" i="1"/>
  <c r="H26" i="5" s="1"/>
  <c r="I27" i="7"/>
  <c r="C40" i="7"/>
  <c r="C37" i="7"/>
  <c r="D26" i="7" l="1"/>
  <c r="H29" i="1"/>
  <c r="H30" i="5" s="1"/>
  <c r="H9" i="4"/>
  <c r="I28" i="7"/>
  <c r="I34" i="7"/>
  <c r="G31" i="5"/>
  <c r="G12" i="4"/>
  <c r="G6" i="4"/>
  <c r="H29" i="7"/>
  <c r="G26" i="7"/>
  <c r="G43" i="7"/>
  <c r="F43" i="7"/>
  <c r="F26" i="7"/>
  <c r="E26" i="7"/>
  <c r="C43" i="7"/>
  <c r="G17" i="4" l="1"/>
  <c r="G22" i="4" s="1"/>
  <c r="G32" i="4" s="1"/>
  <c r="H30" i="7"/>
  <c r="G14" i="4"/>
  <c r="G33" i="4"/>
  <c r="H31" i="1"/>
  <c r="H31" i="5" s="1"/>
  <c r="H12" i="4"/>
  <c r="H6" i="4"/>
  <c r="I29" i="7"/>
  <c r="H63" i="4"/>
  <c r="G27" i="2"/>
  <c r="G34" i="4" l="1"/>
  <c r="H17" i="4"/>
  <c r="H22" i="4" s="1"/>
  <c r="H32" i="4" s="1"/>
  <c r="I30" i="7"/>
  <c r="H14" i="4"/>
  <c r="H33" i="4"/>
  <c r="H14" i="7"/>
  <c r="G33" i="2"/>
  <c r="H64" i="4"/>
  <c r="H27" i="2"/>
  <c r="H33" i="2" l="1"/>
  <c r="H34" i="2" s="1"/>
  <c r="H28" i="6"/>
  <c r="H34" i="4"/>
  <c r="H13" i="7"/>
  <c r="G34" i="2"/>
  <c r="H12" i="7"/>
  <c r="I14" i="7"/>
  <c r="H47" i="6" l="1"/>
  <c r="H49" i="6"/>
  <c r="H9" i="6"/>
  <c r="H27" i="6"/>
  <c r="H24" i="6"/>
  <c r="H64" i="6"/>
  <c r="H17" i="6"/>
  <c r="H50" i="6"/>
  <c r="H62" i="6"/>
  <c r="H11" i="6"/>
  <c r="H45" i="6"/>
  <c r="H22" i="6"/>
  <c r="H14" i="6"/>
  <c r="H58" i="6"/>
  <c r="H46" i="6"/>
  <c r="H59" i="6"/>
  <c r="H48" i="6"/>
  <c r="H32" i="6"/>
  <c r="H65" i="6"/>
  <c r="H55" i="6"/>
  <c r="H15" i="6"/>
  <c r="H33" i="6"/>
  <c r="H54" i="6"/>
  <c r="H60" i="6"/>
  <c r="H44" i="6"/>
  <c r="H37" i="6"/>
  <c r="H25" i="6"/>
  <c r="H26" i="6"/>
  <c r="H13" i="6"/>
  <c r="H18" i="6"/>
  <c r="H30" i="6"/>
  <c r="H63" i="6"/>
  <c r="H61" i="6"/>
  <c r="H56" i="6"/>
  <c r="H31" i="6"/>
  <c r="H39" i="6"/>
  <c r="H16" i="6"/>
  <c r="H29" i="6"/>
  <c r="H38" i="6"/>
  <c r="H10" i="6"/>
  <c r="G16" i="6"/>
  <c r="G31" i="6"/>
  <c r="G50" i="6"/>
  <c r="G17" i="6"/>
  <c r="G32" i="6"/>
  <c r="G54" i="6"/>
  <c r="G24" i="6"/>
  <c r="G10" i="6"/>
  <c r="G18" i="6"/>
  <c r="G33" i="6"/>
  <c r="G55" i="6"/>
  <c r="G56" i="6"/>
  <c r="G38" i="6"/>
  <c r="G59" i="6"/>
  <c r="G44" i="6"/>
  <c r="G37" i="6"/>
  <c r="G58" i="6"/>
  <c r="G39" i="6"/>
  <c r="G11" i="6"/>
  <c r="G46" i="6"/>
  <c r="G14" i="6"/>
  <c r="G29" i="6"/>
  <c r="G64" i="6"/>
  <c r="G15" i="6"/>
  <c r="G49" i="6"/>
  <c r="G25" i="6"/>
  <c r="G13" i="6"/>
  <c r="G28" i="6"/>
  <c r="G47" i="6"/>
  <c r="G48" i="6"/>
  <c r="G30" i="6"/>
  <c r="G65" i="6"/>
  <c r="G45" i="6"/>
  <c r="G61" i="6"/>
  <c r="G63" i="6"/>
  <c r="G9" i="6"/>
  <c r="H19" i="6"/>
  <c r="G27" i="6"/>
  <c r="G19" i="6"/>
  <c r="G62" i="6"/>
  <c r="G26" i="6"/>
  <c r="G60" i="6"/>
  <c r="G22" i="6"/>
  <c r="I13" i="7"/>
  <c r="I12" i="7"/>
  <c r="I40" i="7" l="1"/>
  <c r="H48" i="7"/>
  <c r="H7" i="7"/>
  <c r="E21" i="13"/>
  <c r="E19" i="13"/>
  <c r="C13" i="13"/>
  <c r="H26" i="7"/>
  <c r="H66" i="6"/>
  <c r="H69" i="2"/>
  <c r="C19" i="13"/>
  <c r="C21" i="13"/>
  <c r="C22" i="13"/>
  <c r="C23" i="13"/>
  <c r="G61" i="4"/>
  <c r="G49" i="4"/>
  <c r="H39" i="7"/>
  <c r="H38" i="7"/>
  <c r="G71" i="2"/>
  <c r="G69" i="2"/>
  <c r="G66" i="6"/>
  <c r="I39" i="7"/>
  <c r="I38" i="7"/>
  <c r="H45" i="7"/>
  <c r="H44" i="7"/>
  <c r="H58" i="4"/>
  <c r="C49" i="13"/>
  <c r="C47" i="13"/>
  <c r="C45" i="13"/>
  <c r="C60" i="13"/>
  <c r="C61" i="13"/>
  <c r="C62" i="13"/>
  <c r="E58" i="13"/>
  <c r="C14" i="13"/>
  <c r="E35" i="13"/>
  <c r="E37" i="13"/>
  <c r="C38" i="13"/>
  <c r="C39" i="13"/>
  <c r="H61" i="4"/>
  <c r="H49" i="4"/>
  <c r="G58" i="4"/>
  <c r="I7" i="7"/>
  <c r="I48" i="7"/>
  <c r="H33" i="7"/>
  <c r="G40" i="2"/>
  <c r="H37" i="7"/>
  <c r="D19" i="13"/>
  <c r="D21" i="13"/>
  <c r="I8" i="7"/>
  <c r="I24" i="7"/>
  <c r="I25" i="7"/>
  <c r="I26" i="7"/>
  <c r="I45" i="7"/>
  <c r="I44" i="7"/>
  <c r="I33" i="7"/>
  <c r="H24" i="7"/>
  <c r="H25" i="7"/>
  <c r="H8" i="7"/>
  <c r="G39" i="2"/>
  <c r="H39" i="2"/>
  <c r="H40" i="2"/>
  <c r="I37" i="7"/>
</calcChain>
</file>

<file path=xl/sharedStrings.xml><?xml version="1.0" encoding="utf-8"?>
<sst xmlns="http://schemas.openxmlformats.org/spreadsheetml/2006/main" count="1318" uniqueCount="1032">
  <si>
    <t>Hindustan  Zinc</t>
  </si>
  <si>
    <t xml:space="preserve">Profit &amp; Loss Account </t>
  </si>
  <si>
    <t>(in INR Crores)</t>
  </si>
  <si>
    <t>Y</t>
  </si>
  <si>
    <t>Act</t>
  </si>
  <si>
    <t>Revenue from operations</t>
  </si>
  <si>
    <t>Excise duty</t>
  </si>
  <si>
    <t>Net Revenue</t>
  </si>
  <si>
    <t>Cost of Goods Sold</t>
  </si>
  <si>
    <t>Changes in inventories of finished goods</t>
  </si>
  <si>
    <t>Gross Profit</t>
  </si>
  <si>
    <t>Selling &amp; General Adm Expenses</t>
  </si>
  <si>
    <t>Other expenses</t>
  </si>
  <si>
    <t>Employee benefits expense</t>
  </si>
  <si>
    <t>EBITDA</t>
  </si>
  <si>
    <t>Depreciation and amortization expense</t>
  </si>
  <si>
    <t>Other income</t>
  </si>
  <si>
    <t>EBIT</t>
  </si>
  <si>
    <t>Finance costs</t>
  </si>
  <si>
    <t>PBT</t>
  </si>
  <si>
    <t>Power and fuel</t>
  </si>
  <si>
    <t>Mining Royalty</t>
  </si>
  <si>
    <t>Current tax</t>
  </si>
  <si>
    <t xml:space="preserve">Deferred tax </t>
  </si>
  <si>
    <t>PAT</t>
  </si>
  <si>
    <t>Balance Sheet</t>
  </si>
  <si>
    <t>ASSETS</t>
  </si>
  <si>
    <t>Non-current asset</t>
  </si>
  <si>
    <t>Property, plant and equipment</t>
  </si>
  <si>
    <t>Capital work-in-progress</t>
  </si>
  <si>
    <t>Intangible Assets</t>
  </si>
  <si>
    <t>Financial assets</t>
  </si>
  <si>
    <t>Loans</t>
  </si>
  <si>
    <t>Others</t>
  </si>
  <si>
    <t>Deferred tax assets (net)</t>
  </si>
  <si>
    <t>Other non-current assets</t>
  </si>
  <si>
    <t>Income tax assets</t>
  </si>
  <si>
    <t>Total non-current assets</t>
  </si>
  <si>
    <t>current assets</t>
  </si>
  <si>
    <t>Inventories</t>
  </si>
  <si>
    <t>Financial Assets</t>
  </si>
  <si>
    <t>Investments</t>
  </si>
  <si>
    <t>Trade receivables</t>
  </si>
  <si>
    <t>Cash and cash equivalents</t>
  </si>
  <si>
    <t>Other Bank balances</t>
  </si>
  <si>
    <t>Other current assets</t>
  </si>
  <si>
    <t>Total current assets</t>
  </si>
  <si>
    <t>TOTAL</t>
  </si>
  <si>
    <t>EQUITY AND LIABILITES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</si>
  <si>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</si>
  <si>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</si>
  <si>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</si>
  <si>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</si>
  <si>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</si>
  <si>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</si>
  <si>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</si>
  <si>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Borrowings</t>
  </si>
  <si>
    <t>Operational buyers' credit/ suppliers' credit</t>
  </si>
  <si>
    <t>a) Total outstanding dues of Micro, Small and Medium Enterprises</t>
  </si>
  <si>
    <t>Other financial liabilities</t>
  </si>
  <si>
    <t>Other non-current liabilities</t>
  </si>
  <si>
    <t>Provisions</t>
  </si>
  <si>
    <t>Total non-current liabilities</t>
  </si>
  <si>
    <t>current liabilities</t>
  </si>
  <si>
    <t xml:space="preserve">  Financial liabilities</t>
  </si>
  <si>
    <t>Borrowing</t>
  </si>
  <si>
    <t>b) Total outstanding dues to creditors other than Micro</t>
  </si>
  <si>
    <t>Other current liabilities</t>
  </si>
  <si>
    <t>Current tax liabilities</t>
  </si>
  <si>
    <t>Total current liabilities</t>
  </si>
  <si>
    <t>Lease Liabilities</t>
  </si>
  <si>
    <t>Deferred tax liabilities</t>
  </si>
  <si>
    <t>Income tax liabilities</t>
  </si>
  <si>
    <r>
      <rPr>
        <sz val="11"/>
        <color theme="1"/>
        <rFont val="Times New Roman"/>
        <family val="1"/>
      </rPr>
      <t>Lease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Liabilities</t>
    </r>
  </si>
  <si>
    <r>
      <rPr>
        <b/>
        <sz val="11"/>
        <color theme="1"/>
        <rFont val="Times New Roman"/>
        <family val="1"/>
      </rPr>
      <t>Trade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payables</t>
    </r>
  </si>
  <si>
    <t>Cash Flow Statement</t>
  </si>
  <si>
    <t>Cash Flow From Operating Activities</t>
  </si>
  <si>
    <t>Net profit before tax</t>
  </si>
  <si>
    <t xml:space="preserve">Adjustments to reconcile profit to net cash </t>
  </si>
  <si>
    <t>Interest expense</t>
  </si>
  <si>
    <t>Interest income</t>
  </si>
  <si>
    <t>Amortization of deferred revenue</t>
  </si>
  <si>
    <t>Net gain on investments measured at FVTPL</t>
  </si>
  <si>
    <t>Net (Gain)/Loss on sale of Property, Plant and Equipment</t>
  </si>
  <si>
    <t>Net (Gain) on sale of financial asset investments</t>
  </si>
  <si>
    <t>operating profit before working capital changes</t>
  </si>
  <si>
    <t>changes in assets and liabilities</t>
  </si>
  <si>
    <t>Increase)/Decrease in Inventories</t>
  </si>
  <si>
    <t>(Increase)/Decrease in Trade receivables</t>
  </si>
  <si>
    <t>(Increase)/Decrease in Other current assets</t>
  </si>
  <si>
    <t>(Increase)/Decrease in Other non current assets</t>
  </si>
  <si>
    <t>(Increase/(Decrease) in Trade payables</t>
  </si>
  <si>
    <t>(Increase/(Decrease) in Other current liabilities</t>
  </si>
  <si>
    <t>(Increase/(Decrease) in non current liabilities</t>
  </si>
  <si>
    <t>cash flows from operations</t>
  </si>
  <si>
    <t>Income taxes paid during the year</t>
  </si>
  <si>
    <t>net cash flows from operating activities</t>
  </si>
  <si>
    <t>Cash Flow From Investing Activities</t>
  </si>
  <si>
    <t>Purchases of Property, Plant and Equipment</t>
  </si>
  <si>
    <t>Interest received</t>
  </si>
  <si>
    <t>Deposits made during the year</t>
  </si>
  <si>
    <t>Deposits matured during the year</t>
  </si>
  <si>
    <t>Purchase of current investments</t>
  </si>
  <si>
    <t>Proceeds from sale of current investments</t>
  </si>
  <si>
    <t>Proceeds from sale of Property, Plant and Equipment</t>
  </si>
  <si>
    <t>net cash flows (used) in investing activities</t>
  </si>
  <si>
    <t>Cash Flow From  Financing Activities</t>
  </si>
  <si>
    <t>Interest and other finance charges paid</t>
  </si>
  <si>
    <t>Proceeds from short term borrowing</t>
  </si>
  <si>
    <t>Repayment of short term borrowings</t>
  </si>
  <si>
    <t>Proceeds from long term borrowings</t>
  </si>
  <si>
    <t>Payment of principal portion of lease liabilities</t>
  </si>
  <si>
    <t>Dividend paid</t>
  </si>
  <si>
    <t>net cash flows (used) in financing activities</t>
  </si>
  <si>
    <t>Net increase /(decrease) in Cash and cash equivalents</t>
  </si>
  <si>
    <t>Cash and cash equivalents at the beginning of the year</t>
  </si>
  <si>
    <t xml:space="preserve">Provision for doubtful debts/ advance </t>
  </si>
  <si>
    <t>Net Loss on investments measured at FVTPL</t>
  </si>
  <si>
    <t>Charge pertaining to Amnesty Scheme</t>
  </si>
  <si>
    <t>Transfer of CSR Assets</t>
  </si>
  <si>
    <t>Purchase of Non current investments</t>
  </si>
  <si>
    <t>Repayment of long term borrowings</t>
  </si>
  <si>
    <t>Allowance for impairment loss on financial assets</t>
  </si>
  <si>
    <t>Net (Gain)/Loss on foreign exchange</t>
  </si>
  <si>
    <t>Proceeds from working capital loan</t>
  </si>
  <si>
    <t>Exceptional item</t>
  </si>
  <si>
    <t>Interest payment of lease liabilities</t>
  </si>
  <si>
    <t>Common Size P&amp;L</t>
  </si>
  <si>
    <t>Common Size B&amp;L</t>
  </si>
  <si>
    <t>Nunber of share</t>
  </si>
  <si>
    <t>Dividend Total</t>
  </si>
  <si>
    <t>Dividend Per Share (DPS)</t>
  </si>
  <si>
    <t>Market Price of Share (MPS)</t>
  </si>
  <si>
    <t>Formula</t>
  </si>
  <si>
    <t>Liquidity Ratio</t>
  </si>
  <si>
    <t>CURRENT RATIO</t>
  </si>
  <si>
    <t>QUICK RATIO</t>
  </si>
  <si>
    <t>CASH RATIO</t>
  </si>
  <si>
    <t>CURRENT ASSESTS/CURRENT LIABILITY</t>
  </si>
  <si>
    <t>(CASH+BANK+INVESTMENT)/CL</t>
  </si>
  <si>
    <t>(CA-INVENTORIES)/CL</t>
  </si>
  <si>
    <t>ACTIVITY RATIO</t>
  </si>
  <si>
    <t>DEBTOR  TURNOVER RATIO</t>
  </si>
  <si>
    <t>CREDITOR TURNOVER RATIO</t>
  </si>
  <si>
    <t>INVENTORY TURNOVER RATIO</t>
  </si>
  <si>
    <t>OPERATING  CYCLE</t>
  </si>
  <si>
    <t>TRADE REC/NET REVENUE * 365</t>
  </si>
  <si>
    <t>TRADE PAY / TOTAL PURCHASE * 365</t>
  </si>
  <si>
    <t>INVENTORY / COGS * 365</t>
  </si>
  <si>
    <t xml:space="preserve">DEBTOR TURNOVER DAY+ INVENTORY TURNOVER DAYS </t>
  </si>
  <si>
    <t>PROFITABILITY RATIO</t>
  </si>
  <si>
    <t>EARNING PER SHARE (EPS)</t>
  </si>
  <si>
    <t>DIVIDEND PER SHARE (DPS)</t>
  </si>
  <si>
    <t>PAY OUT RATIO</t>
  </si>
  <si>
    <t>RENTENTION RATIO</t>
  </si>
  <si>
    <t>EBITDA MARGIN</t>
  </si>
  <si>
    <t>EBIT MARGIN</t>
  </si>
  <si>
    <t>PBT MARGIN</t>
  </si>
  <si>
    <t>PAT MARGIN</t>
  </si>
  <si>
    <t>PAT/NO OF SHARES</t>
  </si>
  <si>
    <t>TOTAL DIVIDENDS/NO OF SHARE</t>
  </si>
  <si>
    <t>DPS/EPS</t>
  </si>
  <si>
    <t>1-PAYOUT RATIO</t>
  </si>
  <si>
    <t>EBIDTA/NET REVENUE</t>
  </si>
  <si>
    <t>EBIT/NET REVENUE</t>
  </si>
  <si>
    <t>PBT/NET REVENUE</t>
  </si>
  <si>
    <t>PAT/NET REVENUE</t>
  </si>
  <si>
    <t>SOLVENCY RATIO</t>
  </si>
  <si>
    <t>DEBT  TO EQUITY RATIOS</t>
  </si>
  <si>
    <t>INTEREST COVERAGE RATIO</t>
  </si>
  <si>
    <t>(NON CURRENT BORROWINGS+SHORT TERM BORROWINGS)/TOTAL EQUITY</t>
  </si>
  <si>
    <t>EBIT/FINANCE COST</t>
  </si>
  <si>
    <t>RETURN RATIO</t>
  </si>
  <si>
    <t>RETURN ON EQUITY</t>
  </si>
  <si>
    <t>CAPITAL EMPLOYED</t>
  </si>
  <si>
    <t>ROCE (RETURN ON CAPITAL EMP)</t>
  </si>
  <si>
    <t>RETURN ON ASSESTS (ROA)</t>
  </si>
  <si>
    <t>PAT/TOTAL EQUITY</t>
  </si>
  <si>
    <t>LONG TERM BORROWINGS + SHORT TERM BORROWINGS + TOTAL EQUITY</t>
  </si>
  <si>
    <t>EBIT/CAPITAL EMPLOYED</t>
  </si>
  <si>
    <t>VALUATION RATIO</t>
  </si>
  <si>
    <t>PE RATIO (PRICE TO EARNING RATIO)</t>
  </si>
  <si>
    <t>BOOK VALUE PER SHARE (BVPS)</t>
  </si>
  <si>
    <t>PB RATIO (PRICE TO BOOK VALUE)</t>
  </si>
  <si>
    <t>SALES PER SHARE (SPS)</t>
  </si>
  <si>
    <t>PS RATIO ( PRICE TO SALES RATIO)</t>
  </si>
  <si>
    <t>MPS/EPS</t>
  </si>
  <si>
    <t>TOTAL EQUITY/NO OF SHARE</t>
  </si>
  <si>
    <t>MPS/BVPS</t>
  </si>
  <si>
    <t>NET REVENUE /NO OF SHARE</t>
  </si>
  <si>
    <t>MPS/SPS</t>
  </si>
  <si>
    <t>DPS/MPS</t>
  </si>
  <si>
    <t xml:space="preserve">DIVIDEND YEILD </t>
  </si>
  <si>
    <t>REVENUE MODEL</t>
  </si>
  <si>
    <t>Sale of scrap and residuals</t>
  </si>
  <si>
    <t>Export incentives</t>
  </si>
  <si>
    <t>Others (unclaimed amount, carbon credits,  etc.)</t>
  </si>
  <si>
    <t>Total</t>
  </si>
  <si>
    <t>CAPEX MODEL</t>
  </si>
  <si>
    <t>Gross Block</t>
  </si>
  <si>
    <t>Accumulated Deperication</t>
  </si>
  <si>
    <t>Net Block</t>
  </si>
  <si>
    <t>% change as YOY</t>
  </si>
  <si>
    <t>Est</t>
  </si>
  <si>
    <t>ASSUMTIONS</t>
  </si>
  <si>
    <t>% of Net Revenue</t>
  </si>
  <si>
    <t xml:space="preserve"> % of Net Revenue</t>
  </si>
  <si>
    <t>based on investment</t>
  </si>
  <si>
    <t>based on FA</t>
  </si>
  <si>
    <t>Based on browwoings &amp; lease</t>
  </si>
  <si>
    <t>% of PBT</t>
  </si>
  <si>
    <t>Uncertain</t>
  </si>
  <si>
    <t xml:space="preserve"> </t>
  </si>
  <si>
    <t>% of change of YOY</t>
  </si>
  <si>
    <t>last yr dep + curt yr dep</t>
  </si>
  <si>
    <t>GB-AD</t>
  </si>
  <si>
    <t>News /Qualitative info</t>
  </si>
  <si>
    <t>Pay out ratio*PAT</t>
  </si>
  <si>
    <t>Always Forcast</t>
  </si>
  <si>
    <t>most imp</t>
  </si>
  <si>
    <t>PPE</t>
  </si>
  <si>
    <t>Trade Rec</t>
  </si>
  <si>
    <t>Trade Payable</t>
  </si>
  <si>
    <t>Cash</t>
  </si>
  <si>
    <t>moderate imp</t>
  </si>
  <si>
    <t>CWIP</t>
  </si>
  <si>
    <t>Loan given</t>
  </si>
  <si>
    <t>Equity Share Capital</t>
  </si>
  <si>
    <t>Borrowoings &amp; lease</t>
  </si>
  <si>
    <t>All remaining items expect moderate &amp; most</t>
  </si>
  <si>
    <t>no forecast</t>
  </si>
  <si>
    <t>Least imp</t>
  </si>
  <si>
    <t>Reconcillation</t>
  </si>
  <si>
    <t>% of COGS</t>
  </si>
  <si>
    <r>
      <rPr>
        <b/>
        <sz val="12"/>
        <color theme="1"/>
        <rFont val="Times New Roman"/>
        <family val="1"/>
      </rPr>
      <t>Cash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and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cash equivalents at the end of the year</t>
    </r>
  </si>
  <si>
    <t>Last year other equity-current year profit-current year dividend</t>
  </si>
  <si>
    <t>% of purchases</t>
  </si>
  <si>
    <t xml:space="preserve">Others </t>
  </si>
  <si>
    <t>based on news</t>
  </si>
  <si>
    <t>Loan given others</t>
  </si>
  <si>
    <t>Borrowings paid</t>
  </si>
  <si>
    <t>% of borowwings &amp; lease</t>
  </si>
  <si>
    <t>% of Gross Block</t>
  </si>
  <si>
    <t>% of investment</t>
  </si>
  <si>
    <r>
      <t xml:space="preserve"> </t>
    </r>
    <r>
      <rPr>
        <i/>
        <sz val="12"/>
        <color theme="1"/>
        <rFont val="Times New Roman"/>
        <family val="1"/>
      </rPr>
      <t>% of Net Revenue</t>
    </r>
  </si>
  <si>
    <r>
      <rPr>
        <sz val="12"/>
        <color theme="1"/>
        <rFont val="Times New Roman"/>
        <family val="1"/>
      </rPr>
      <t>Lease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Liabilities</t>
    </r>
  </si>
  <si>
    <r>
      <rPr>
        <b/>
        <sz val="12"/>
        <color theme="1"/>
        <rFont val="Times New Roman"/>
        <family val="1"/>
      </rPr>
      <t>Trade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payables</t>
    </r>
  </si>
  <si>
    <t>Revenue trend shows long-term growth with temporary dips → business demand is stable but cyclical.</t>
  </si>
  <si>
    <t>Costs (power, royalty, fuel) are rising → margins depend on commodity prices and efficiency</t>
  </si>
  <si>
    <t>Strong EBITDA history → high operating leverage.</t>
  </si>
  <si>
    <t>Increasing depreciation → ongoing expansion/capex.</t>
  </si>
  <si>
    <t>Debt costs stable → financial risk controlled</t>
  </si>
  <si>
    <t>Overall: Strong fundamentals, cyclical earnings, positive long-term outlook with short-term volatility.</t>
  </si>
  <si>
    <t>Most assets are in plant and machinery → shows a core operating business, not idle assets</t>
  </si>
  <si>
    <t>Cash and investments fluctuate → active cash management.</t>
  </si>
  <si>
    <t>Inventory levels look controlled → no sign of overstocking.</t>
  </si>
  <si>
    <t>Equity is the main funding source → strong financial base.</t>
  </si>
  <si>
    <t>Debt is present but reasonable → leverage is under control.</t>
  </si>
  <si>
    <t>Current liabilities rise with operations → normal business growth pattern.</t>
  </si>
  <si>
    <t>Ongoing increase in fixed assets → company is expanding.</t>
  </si>
  <si>
    <t>Overall: Financial position looks stable, risk is moderate, and the structure supports future growth.</t>
  </si>
  <si>
    <t>Operating Cash Flow</t>
  </si>
  <si>
    <t>Positive in most years → core business generates real cash.</t>
  </si>
  <si>
    <t>Moves in line with profits → earnings quality looks reliable.</t>
  </si>
  <si>
    <t>Some fluctuations → working capital changes affecting cash timing.</t>
  </si>
  <si>
    <t>Investing Cash Flow</t>
  </si>
  <si>
    <t>Mostly negative → company is investing in assets and expansion.</t>
  </si>
  <si>
    <t>Large outflows for plant and equipment → growth strategy in action.</t>
  </si>
  <si>
    <t>Occasional inflows from asset sales → asset optimization.</t>
  </si>
  <si>
    <t>Financing Cash Flow</t>
  </si>
  <si>
    <t>Mixed trend → company both borrows and repays depending on need.</t>
  </si>
  <si>
    <t>Dividend payments visible → strong enough cash position to reward shareholders</t>
  </si>
  <si>
    <t>No aggressive borrowing spikes → financial discipline.</t>
  </si>
  <si>
    <t xml:space="preserve">Net Cash Position </t>
  </si>
  <si>
    <t>Cash balance fluctuates but stays positive → liquidity not under stress.</t>
  </si>
  <si>
    <t>Years with negative net change mostly due to heavy investments, not losses.</t>
  </si>
  <si>
    <t>Cost structure is stable with consistent COGS percentage, showing operational control.</t>
  </si>
  <si>
    <t>Margins remain strong overall, though they fluctuate with revenue cycles.</t>
  </si>
  <si>
    <t>Operating expenses are low and stable, indicating efficient cost management.</t>
  </si>
  <si>
    <t>Profitability mainly depends on sales performance and commodity price movements.</t>
  </si>
  <si>
    <t>Assets</t>
  </si>
  <si>
    <t>Fixed assets form the largest portion → business is asset-heavy and capital intensive.</t>
  </si>
  <si>
    <t>Share of fixed assets increases over time → expansion and capacity growth.</t>
  </si>
  <si>
    <t>Current assets fluctuate → working capital adjusts with operations.</t>
  </si>
  <si>
    <t>Cash proportion is relatively low → funds are mostly deployed, not idle.</t>
  </si>
  <si>
    <t>Liabilities &amp; Equity</t>
  </si>
  <si>
    <t>Equity contributes a major share → strong financial foundation.</t>
  </si>
  <si>
    <t>Debt portion is moderate → leverage is controlled</t>
  </si>
  <si>
    <t>Current liabilities move with business activity → normal operating cycle effect.</t>
  </si>
  <si>
    <t>No sharp spike in borrowings → disciplined financing approach.</t>
  </si>
  <si>
    <t>Structure Insight</t>
  </si>
  <si>
    <t>Asset mix is long-term focused while funding is largely stable equity.</t>
  </si>
  <si>
    <t>Increasing asset base without excessive debt → sustainable growth pattern.</t>
  </si>
  <si>
    <t>The balance sheet structure shows a stable, expansion-oriented company with strong equity backing, moderate debt, and efficient asset deployment.</t>
  </si>
  <si>
    <t>Total revenue shows an overall upward trend → core demand is growing long term.</t>
  </si>
  <si>
    <t>Scrap sales increase steadily → efficient resource utilization and cost recovery.</t>
  </si>
  <si>
    <t>Export incentives fluctuate → dependent on policy and external trade conditions.</t>
  </si>
  <si>
    <t>“Other income” grows gradually → additional revenue streams supporting total income</t>
  </si>
  <si>
    <t>One dip year appears → likely commodity price or volume cycle, not structural weakness.</t>
  </si>
  <si>
    <t>Forecast years show strong growth → assumption of higher production or price improvement.</t>
  </si>
  <si>
    <t>Gross block rising → continuous investment in assets.</t>
  </si>
  <si>
    <t>Net block growing → new capex exceeds depreciation.</t>
  </si>
  <si>
    <t>Stable growth rate → planned expansion</t>
  </si>
  <si>
    <t>Depreciation increasing → asset base expanding</t>
  </si>
  <si>
    <t>Overall: Steady, disciplined capital investment supporting long-term growth.</t>
  </si>
  <si>
    <t>Hindustan Unilever Ltd</t>
  </si>
  <si>
    <t>DCF VALUATION</t>
  </si>
  <si>
    <t>CAPM -Capital Assest Pricing Model</t>
  </si>
  <si>
    <t>ke (Cost of Equity)/Eri</t>
  </si>
  <si>
    <t>Rf (Risk free rate)</t>
  </si>
  <si>
    <t>Beta</t>
  </si>
  <si>
    <t>Rp (Risk Premium =(Erm-Rf)</t>
  </si>
  <si>
    <t>g(f)</t>
  </si>
  <si>
    <t>g(h)</t>
  </si>
  <si>
    <t>g(gdp)</t>
  </si>
  <si>
    <t>GGM</t>
  </si>
  <si>
    <t>DIVIDEND</t>
  </si>
  <si>
    <t>YEAR</t>
  </si>
  <si>
    <t>DCF</t>
  </si>
  <si>
    <t>VALUE OF EQUITY</t>
  </si>
  <si>
    <t>TARGET PRICE</t>
  </si>
  <si>
    <t>ANALYST VIEW</t>
  </si>
  <si>
    <t>BUY/SELL CALL</t>
  </si>
  <si>
    <t>BUY</t>
  </si>
  <si>
    <t>FCFE</t>
  </si>
  <si>
    <t>DEP</t>
  </si>
  <si>
    <t>CHANGE IN WC</t>
  </si>
  <si>
    <t>CAPEX</t>
  </si>
  <si>
    <t>NEW DEBT TAKEN</t>
  </si>
  <si>
    <t>YAER</t>
  </si>
  <si>
    <t>BUY/SELL CELL</t>
  </si>
  <si>
    <t>WACC CALCULATION</t>
  </si>
  <si>
    <t>Ke</t>
  </si>
  <si>
    <t>We</t>
  </si>
  <si>
    <t>Kd</t>
  </si>
  <si>
    <t>Wd</t>
  </si>
  <si>
    <t xml:space="preserve">FCFF </t>
  </si>
  <si>
    <t>CAHNGE IN WC</t>
  </si>
  <si>
    <t>FINANCE COST</t>
  </si>
  <si>
    <t>Ke &gt; g</t>
  </si>
  <si>
    <t xml:space="preserve">closest </t>
  </si>
  <si>
    <t>FY26</t>
  </si>
  <si>
    <t>FY27</t>
  </si>
  <si>
    <t>CURRENT PRICE AS ON 17/02/26</t>
  </si>
  <si>
    <t>UNDERVALUED</t>
  </si>
  <si>
    <t>CALCULATIONS OF CHANGES IN WORKING CAPITAL</t>
  </si>
  <si>
    <t>WORKING CAPITAL ADJ FOR CASH</t>
  </si>
  <si>
    <t>CHANGES IN WC</t>
  </si>
  <si>
    <t>CA-CL-CASH-BANK</t>
  </si>
  <si>
    <t>NEW-OLD</t>
  </si>
  <si>
    <t>FCFE=PAT+DEP - CHANGES IN WC - CAPEX - NEW DEDT TAKEN =</t>
  </si>
  <si>
    <t>CURRENT PRICE AS ON 17-02-2026</t>
  </si>
  <si>
    <t>KE*WE+KD*WD</t>
  </si>
  <si>
    <t>CURRENT PRICE ON 17-02-2026</t>
  </si>
  <si>
    <t>VALUATION BASED ON FORWARD MUTLIPLE</t>
  </si>
  <si>
    <t>(in INR )</t>
  </si>
  <si>
    <t>DATE</t>
  </si>
  <si>
    <t>MPS</t>
  </si>
  <si>
    <t>EPS</t>
  </si>
  <si>
    <t>FORWARD PE</t>
  </si>
  <si>
    <t>Intrinsic Price</t>
  </si>
  <si>
    <t>Estimated EPS</t>
  </si>
  <si>
    <t>Average PE</t>
  </si>
  <si>
    <t>Current Price on 17-02-26</t>
  </si>
  <si>
    <t>Analyst Review</t>
  </si>
  <si>
    <t>Analyst Call</t>
  </si>
  <si>
    <t>02/17/2026</t>
  </si>
  <si>
    <t>02/16/2026</t>
  </si>
  <si>
    <t>02/13/2026</t>
  </si>
  <si>
    <t>01/30/2026</t>
  </si>
  <si>
    <t>01/29/2026</t>
  </si>
  <si>
    <t>01/28/2026</t>
  </si>
  <si>
    <t>01/27/2026</t>
  </si>
  <si>
    <t>01/23/2026</t>
  </si>
  <si>
    <t>01/22/2026</t>
  </si>
  <si>
    <t>01/21/2026</t>
  </si>
  <si>
    <t>01/20/2026</t>
  </si>
  <si>
    <t>01/19/2026</t>
  </si>
  <si>
    <t>01/16/2026</t>
  </si>
  <si>
    <t>01/14/2026</t>
  </si>
  <si>
    <t>01/13/2026</t>
  </si>
  <si>
    <t>12/31/2025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</si>
  <si>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</si>
  <si>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</si>
  <si>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</si>
  <si>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</si>
  <si>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</si>
  <si>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</si>
  <si>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</si>
  <si>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</si>
  <si>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</si>
  <si>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</si>
  <si>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</si>
  <si>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</si>
  <si>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</si>
  <si>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</si>
  <si>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</si>
  <si>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</si>
  <si>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</si>
  <si>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</si>
  <si>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</si>
  <si>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</si>
  <si>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</si>
  <si>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</si>
  <si>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</si>
  <si>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</si>
  <si>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</si>
  <si>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</si>
  <si>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</si>
  <si>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</si>
  <si>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</si>
  <si>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</si>
  <si>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</si>
  <si>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</si>
  <si>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</si>
  <si>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</si>
  <si>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</si>
  <si>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</si>
  <si>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</si>
  <si>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</si>
  <si>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</si>
  <si>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</si>
  <si>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</si>
  <si>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</si>
  <si>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</si>
  <si>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</si>
  <si>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</si>
  <si>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</si>
  <si>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</si>
  <si>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</si>
  <si>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</si>
  <si>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</si>
  <si>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</si>
  <si>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</si>
  <si>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</si>
  <si>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</si>
  <si>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</si>
  <si>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</si>
  <si>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</si>
  <si>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</si>
  <si>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</si>
  <si>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</si>
  <si>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</si>
  <si>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</si>
  <si>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</si>
  <si>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</si>
  <si>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</si>
  <si>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</si>
  <si>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</si>
  <si>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</si>
  <si>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</si>
  <si>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</si>
  <si>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</si>
  <si>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</si>
  <si>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</si>
  <si>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</si>
  <si>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</si>
  <si>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</si>
  <si>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</si>
  <si>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</si>
  <si>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</si>
  <si>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</si>
  <si>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</si>
  <si>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</si>
  <si>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</si>
  <si>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</si>
  <si>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</si>
  <si>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</si>
  <si>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</si>
  <si>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</si>
  <si>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</si>
  <si>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</si>
  <si>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</si>
  <si>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</si>
  <si>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</si>
  <si>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</si>
  <si>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</si>
  <si>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</si>
  <si>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</si>
  <si>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</si>
  <si>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</si>
  <si>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</si>
  <si>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</si>
  <si>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</si>
  <si>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</si>
  <si>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</si>
  <si>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</si>
  <si>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</si>
  <si>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</si>
  <si>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</si>
  <si>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</si>
  <si>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</si>
  <si>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</si>
  <si>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</si>
  <si>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</si>
  <si>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</si>
  <si>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</si>
  <si>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</si>
  <si>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</si>
  <si>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</si>
  <si>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</si>
  <si>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</si>
  <si>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</si>
  <si>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03/13/2025</t>
  </si>
  <si>
    <t>02/28/2025</t>
  </si>
  <si>
    <t>02/27/2025</t>
  </si>
  <si>
    <t>02/25/2025</t>
  </si>
  <si>
    <t>02/24/2025</t>
  </si>
  <si>
    <t>02/21/2025</t>
  </si>
  <si>
    <t>02/20/2025</t>
  </si>
  <si>
    <t>02/19/2025</t>
  </si>
  <si>
    <t>02/18/2025</t>
  </si>
  <si>
    <t>02/17/2025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</si>
  <si>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</si>
  <si>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</si>
  <si>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</si>
  <si>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</si>
  <si>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</si>
  <si>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</si>
  <si>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</si>
  <si>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</si>
  <si>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</si>
  <si>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</si>
  <si>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</si>
  <si>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01/20/2025</t>
  </si>
  <si>
    <t>01/17/2025</t>
  </si>
  <si>
    <t>01/16/2025</t>
  </si>
  <si>
    <t>01/15/2025</t>
  </si>
  <si>
    <t>01/14/2025</t>
  </si>
  <si>
    <t>01/13/2025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</si>
  <si>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</si>
  <si>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</si>
  <si>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</si>
  <si>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</si>
  <si>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</si>
  <si>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</si>
  <si>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</si>
  <si>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</si>
  <si>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</si>
  <si>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</si>
  <si>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</si>
  <si>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</si>
  <si>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</si>
  <si>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</si>
  <si>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</si>
  <si>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</si>
  <si>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</si>
  <si>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</si>
  <si>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</si>
  <si>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11/19/2024</t>
  </si>
  <si>
    <t>11/18/2024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</si>
  <si>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</si>
  <si>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</si>
  <si>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</si>
  <si>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</si>
  <si>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</si>
  <si>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</si>
  <si>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</si>
  <si>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</si>
  <si>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</si>
  <si>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</si>
  <si>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</si>
  <si>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</si>
  <si>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</si>
  <si>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</si>
  <si>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</si>
  <si>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</si>
  <si>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</si>
  <si>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</si>
  <si>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</si>
  <si>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</si>
  <si>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</si>
  <si>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</si>
  <si>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</si>
  <si>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</si>
  <si>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</si>
  <si>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</si>
  <si>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</si>
  <si>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</si>
  <si>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</si>
  <si>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</si>
  <si>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</si>
  <si>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</si>
  <si>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</si>
  <si>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</si>
  <si>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</si>
  <si>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</si>
  <si>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</si>
  <si>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</si>
  <si>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</si>
  <si>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</si>
  <si>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</si>
  <si>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</si>
  <si>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</si>
  <si>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</si>
  <si>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</si>
  <si>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</si>
  <si>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</si>
  <si>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</si>
  <si>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</si>
  <si>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</si>
  <si>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</si>
  <si>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</si>
  <si>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</si>
  <si>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</si>
  <si>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</si>
  <si>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</si>
  <si>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</si>
  <si>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</si>
  <si>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</si>
  <si>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</si>
  <si>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</si>
  <si>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</si>
  <si>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06/14/2024</t>
  </si>
  <si>
    <t>06/13/2024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</si>
  <si>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</si>
  <si>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</si>
  <si>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</si>
  <si>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</si>
  <si>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</si>
  <si>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</si>
  <si>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</si>
  <si>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</si>
  <si>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</si>
  <si>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05/18/2024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</si>
  <si>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</si>
  <si>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</si>
  <si>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</si>
  <si>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</si>
  <si>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</si>
  <si>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</si>
  <si>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</si>
  <si>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</si>
  <si>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</si>
  <si>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</si>
  <si>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</si>
  <si>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</si>
  <si>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</si>
  <si>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</si>
  <si>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04/16/2024</t>
  </si>
  <si>
    <t>04/15/2024</t>
  </si>
  <si>
    <t>03/28/2024</t>
  </si>
  <si>
    <t>03/27/2024</t>
  </si>
  <si>
    <t>03/26/2024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</si>
  <si>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</si>
  <si>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</si>
  <si>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</si>
  <si>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</si>
  <si>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</si>
  <si>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</si>
  <si>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</si>
  <si>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</si>
  <si>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</si>
  <si>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</si>
  <si>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</si>
  <si>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</si>
  <si>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</si>
  <si>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</si>
  <si>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</si>
  <si>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</si>
  <si>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</si>
  <si>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</si>
  <si>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</si>
  <si>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</si>
  <si>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</si>
  <si>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</si>
  <si>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</si>
  <si>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</si>
  <si>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01/25/2024</t>
  </si>
  <si>
    <t>01/24/2024</t>
  </si>
  <si>
    <t>01/23/2024</t>
  </si>
  <si>
    <t>01/20/2024</t>
  </si>
  <si>
    <t>01/19/2024</t>
  </si>
  <si>
    <t>01/18/2024</t>
  </si>
  <si>
    <t>01/17/2024</t>
  </si>
  <si>
    <t>01/16/2024</t>
  </si>
  <si>
    <t>01/15/2024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</si>
  <si>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</si>
  <si>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</si>
  <si>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</si>
  <si>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</si>
  <si>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</si>
  <si>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</si>
  <si>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</si>
  <si>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</si>
  <si>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</si>
  <si>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</si>
  <si>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</si>
  <si>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</si>
  <si>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</si>
  <si>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</si>
  <si>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</si>
  <si>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11/24/2023</t>
  </si>
  <si>
    <t>11/23/2023</t>
  </si>
  <si>
    <t>11/22/2023</t>
  </si>
  <si>
    <t>11/21/2023</t>
  </si>
  <si>
    <t>11/20/2023</t>
  </si>
  <si>
    <t>11/17/2023</t>
  </si>
  <si>
    <t>11/16/2023</t>
  </si>
  <si>
    <t>11/15/2023</t>
  </si>
  <si>
    <t>11/13/2023</t>
  </si>
  <si>
    <t>10/31/2023</t>
  </si>
  <si>
    <t>10/30/2023</t>
  </si>
  <si>
    <t>10/27/2023</t>
  </si>
  <si>
    <t>10/26/2023</t>
  </si>
  <si>
    <t>10/25/2023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</si>
  <si>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</si>
  <si>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</si>
  <si>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</si>
  <si>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</si>
  <si>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</si>
  <si>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</si>
  <si>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</si>
  <si>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</si>
  <si>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</si>
  <si>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</si>
  <si>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</si>
  <si>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</si>
  <si>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</si>
  <si>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</si>
  <si>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</si>
  <si>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</si>
  <si>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</si>
  <si>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</si>
  <si>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</si>
  <si>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</si>
  <si>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</si>
  <si>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</si>
  <si>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</si>
  <si>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</si>
  <si>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</si>
  <si>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</si>
  <si>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</si>
  <si>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</si>
  <si>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</si>
  <si>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</si>
  <si>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</si>
  <si>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</si>
  <si>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</si>
  <si>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</si>
  <si>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</si>
  <si>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</si>
  <si>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</si>
  <si>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</si>
  <si>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</si>
  <si>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</si>
  <si>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</si>
  <si>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</si>
  <si>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</si>
  <si>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</si>
  <si>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</si>
  <si>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</si>
  <si>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</si>
  <si>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</si>
  <si>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</si>
  <si>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</si>
  <si>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</si>
  <si>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</si>
  <si>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</si>
  <si>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</si>
  <si>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</si>
  <si>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</si>
  <si>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</si>
  <si>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</si>
  <si>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05/31/2023</t>
  </si>
  <si>
    <t>05/30/2023</t>
  </si>
  <si>
    <t>05/29/2023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</si>
  <si>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</si>
  <si>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</si>
  <si>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</si>
  <si>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</si>
  <si>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</si>
  <si>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</si>
  <si>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</si>
  <si>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</si>
  <si>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</si>
  <si>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</si>
  <si>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</si>
  <si>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</si>
  <si>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</si>
  <si>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</si>
  <si>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</si>
  <si>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</si>
  <si>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</si>
  <si>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</si>
  <si>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</si>
  <si>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</si>
  <si>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04/13/2023</t>
  </si>
  <si>
    <t>03/31/2023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</si>
  <si>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</si>
  <si>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</si>
  <si>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</si>
  <si>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</si>
  <si>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</si>
  <si>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</si>
  <si>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</si>
  <si>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</si>
  <si>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</si>
  <si>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</si>
  <si>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</si>
  <si>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</si>
  <si>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</si>
  <si>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</si>
  <si>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</si>
  <si>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</si>
  <si>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</si>
  <si>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</si>
  <si>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</si>
  <si>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02/20/2023</t>
  </si>
  <si>
    <t>02/17/2023</t>
  </si>
  <si>
    <t>ROE</t>
  </si>
  <si>
    <t>Year</t>
  </si>
  <si>
    <t>Revenue</t>
  </si>
  <si>
    <t>2026E</t>
  </si>
  <si>
    <t>2027E</t>
  </si>
  <si>
    <t>EBITDA %</t>
  </si>
  <si>
    <t>EBIT %</t>
  </si>
  <si>
    <t>Net Margin %</t>
  </si>
  <si>
    <t>NEG</t>
  </si>
  <si>
    <t>Revenue Growth</t>
  </si>
  <si>
    <t>PAT Growth</t>
  </si>
  <si>
    <t>Total Assets</t>
  </si>
  <si>
    <t>Equity</t>
  </si>
  <si>
    <t>Operating CF</t>
  </si>
  <si>
    <t>Investing CF</t>
  </si>
  <si>
    <t>Financing CF</t>
  </si>
  <si>
    <t>Net Change</t>
  </si>
  <si>
    <t>Strong positive</t>
  </si>
  <si>
    <t>Negative (capex)</t>
  </si>
  <si>
    <t>Negative (dividends)</t>
  </si>
  <si>
    <t>Stable</t>
  </si>
  <si>
    <t>Negative</t>
  </si>
  <si>
    <t>Slight drop</t>
  </si>
  <si>
    <t>Moderate</t>
  </si>
  <si>
    <t>Capex heavy</t>
  </si>
  <si>
    <t>Dividend heavy</t>
  </si>
  <si>
    <t>Lower cash</t>
  </si>
  <si>
    <t>Recovery</t>
  </si>
  <si>
    <t>Capex continues</t>
  </si>
  <si>
    <t>Dividend payout</t>
  </si>
  <si>
    <t>Improving</t>
  </si>
  <si>
    <t>Expansion capex</t>
  </si>
  <si>
    <t>Financing support</t>
  </si>
  <si>
    <t>Growth</t>
  </si>
  <si>
    <t>Very strong</t>
  </si>
  <si>
    <t>Expansion investment</t>
  </si>
  <si>
    <t>Strong rise</t>
  </si>
  <si>
    <t>Strong rebound</t>
  </si>
  <si>
    <t>Area</t>
  </si>
  <si>
    <t>Observation</t>
  </si>
  <si>
    <t>Cyclical but long-term upward trend</t>
  </si>
  <si>
    <t>Margins</t>
  </si>
  <si>
    <t>Extremely high due to mining economics</t>
  </si>
  <si>
    <t>Costs</t>
  </si>
  <si>
    <t>Power &amp; royalty dominate cost structure</t>
  </si>
  <si>
    <t>Debt risk</t>
  </si>
  <si>
    <t>Low leverage, strong cash generation</t>
  </si>
  <si>
    <t>Profit volatility</t>
  </si>
  <si>
    <t>Commodity price driven</t>
  </si>
  <si>
    <t>Outlook</t>
  </si>
  <si>
    <t>Strong long-term but cyclical earnings</t>
  </si>
  <si>
    <t>PROFITABLITY SUMMARY</t>
  </si>
  <si>
    <t>BALANCE SHEET SUMMARY (IN Cr)</t>
  </si>
  <si>
    <t>CASH FLOW SUMMARY (IN Cr)</t>
  </si>
  <si>
    <t xml:space="preserve">GROWTH SUMMARY </t>
  </si>
  <si>
    <t>PERFORMANCE SUMMARY</t>
  </si>
  <si>
    <t>P&amp;L SMMARY</t>
  </si>
  <si>
    <t>Particular</t>
  </si>
  <si>
    <t>Revenue Growth %</t>
  </si>
  <si>
    <t>—</t>
  </si>
  <si>
    <t>EBITDA Margin %</t>
  </si>
  <si>
    <t>EBIT Margin %</t>
  </si>
  <si>
    <t>Net Profit</t>
  </si>
  <si>
    <t>__</t>
  </si>
  <si>
    <t>FINANCIAL DATA CHARTS</t>
  </si>
  <si>
    <r>
      <rPr>
        <b/>
        <sz val="12"/>
        <color theme="1"/>
        <rFont val="Times New Roman"/>
        <family val="1"/>
      </rPr>
      <t>Company Name</t>
    </r>
    <r>
      <rPr>
        <sz val="12"/>
        <color theme="1"/>
        <rFont val="Times New Roman"/>
        <family val="1"/>
      </rPr>
      <t>: Hindustan Zinc Limited</t>
    </r>
  </si>
  <si>
    <r>
      <rPr>
        <b/>
        <sz val="12"/>
        <color theme="1"/>
        <rFont val="Times New Roman"/>
        <family val="1"/>
      </rPr>
      <t>Company Symbol (Ticker):</t>
    </r>
    <r>
      <rPr>
        <sz val="12"/>
        <color theme="1"/>
        <rFont val="Times New Roman"/>
        <family val="1"/>
      </rPr>
      <t xml:space="preserve"> HINDZINC</t>
    </r>
  </si>
  <si>
    <r>
      <rPr>
        <b/>
        <sz val="12"/>
        <color theme="1"/>
        <rFont val="Times New Roman"/>
        <family val="1"/>
      </rPr>
      <t xml:space="preserve">ISIN: </t>
    </r>
    <r>
      <rPr>
        <sz val="12"/>
        <color theme="1"/>
        <rFont val="Times New Roman"/>
        <family val="1"/>
      </rPr>
      <t>INE267A01025</t>
    </r>
  </si>
  <si>
    <r>
      <rPr>
        <b/>
        <sz val="12"/>
        <color theme="1"/>
        <rFont val="Times New Roman"/>
        <family val="1"/>
      </rPr>
      <t>Industry:</t>
    </r>
    <r>
      <rPr>
        <sz val="12"/>
        <color theme="1"/>
        <rFont val="Times New Roman"/>
        <family val="1"/>
      </rPr>
      <t xml:space="preserve"> Metals &amp; Mining</t>
    </r>
  </si>
  <si>
    <r>
      <rPr>
        <b/>
        <sz val="12"/>
        <color theme="1"/>
        <rFont val="Times New Roman"/>
        <family val="1"/>
      </rPr>
      <t>Sector:</t>
    </r>
    <r>
      <rPr>
        <sz val="12"/>
        <color theme="1"/>
        <rFont val="Times New Roman"/>
        <family val="1"/>
      </rPr>
      <t xml:space="preserve"> Non-Ferrous Metals</t>
    </r>
  </si>
  <si>
    <r>
      <rPr>
        <b/>
        <sz val="12"/>
        <color theme="1"/>
        <rFont val="Times New Roman"/>
        <family val="1"/>
      </rPr>
      <t>Stock Exchange (Shares Listed)</t>
    </r>
    <r>
      <rPr>
        <sz val="12"/>
        <color theme="1"/>
        <rFont val="Times New Roman"/>
        <family val="1"/>
      </rPr>
      <t>: NSE, BSE</t>
    </r>
  </si>
  <si>
    <r>
      <rPr>
        <b/>
        <sz val="12"/>
        <color theme="1"/>
        <rFont val="Times New Roman"/>
        <family val="1"/>
      </rPr>
      <t>Latest Annual Statement:</t>
    </r>
    <r>
      <rPr>
        <sz val="12"/>
        <color theme="1"/>
        <rFont val="Times New Roman"/>
        <family val="1"/>
      </rPr>
      <t xml:space="preserve"> FY2025</t>
    </r>
  </si>
  <si>
    <r>
      <rPr>
        <b/>
        <sz val="12"/>
        <color theme="1"/>
        <rFont val="Times New Roman"/>
        <family val="1"/>
      </rPr>
      <t>First Year of Projections</t>
    </r>
    <r>
      <rPr>
        <sz val="12"/>
        <color theme="1"/>
        <rFont val="Times New Roman"/>
        <family val="1"/>
      </rPr>
      <t>: FY2026</t>
    </r>
  </si>
  <si>
    <r>
      <rPr>
        <b/>
        <sz val="12"/>
        <color theme="1"/>
        <rFont val="Times New Roman"/>
        <family val="1"/>
      </rPr>
      <t>Date of Projections</t>
    </r>
    <r>
      <rPr>
        <sz val="12"/>
        <color theme="1"/>
        <rFont val="Times New Roman"/>
        <family val="1"/>
      </rPr>
      <t>: 31-Mar-2025</t>
    </r>
  </si>
  <si>
    <r>
      <rPr>
        <b/>
        <sz val="12"/>
        <color theme="1"/>
        <rFont val="Times New Roman"/>
        <family val="1"/>
      </rPr>
      <t>Reporting Currency:</t>
    </r>
    <r>
      <rPr>
        <sz val="12"/>
        <color theme="1"/>
        <rFont val="Times New Roman"/>
        <family val="1"/>
      </rPr>
      <t xml:space="preserve"> INR</t>
    </r>
  </si>
  <si>
    <r>
      <rPr>
        <b/>
        <sz val="12"/>
        <color theme="1"/>
        <rFont val="Times New Roman"/>
        <family val="1"/>
      </rPr>
      <t>Target Price:</t>
    </r>
    <r>
      <rPr>
        <sz val="12"/>
        <color theme="1"/>
        <rFont val="Times New Roman"/>
        <family val="1"/>
      </rPr>
      <t xml:space="preserve"> (Leave Blank – model output)</t>
    </r>
  </si>
  <si>
    <r>
      <rPr>
        <b/>
        <sz val="12"/>
        <color theme="1"/>
        <rFont val="Times New Roman"/>
        <family val="1"/>
      </rPr>
      <t>Current Stock Price:</t>
    </r>
    <r>
      <rPr>
        <sz val="12"/>
        <color theme="1"/>
        <rFont val="Times New Roman"/>
        <family val="1"/>
      </rPr>
      <t xml:space="preserve"> 520</t>
    </r>
  </si>
  <si>
    <r>
      <rPr>
        <b/>
        <sz val="12"/>
        <color theme="1"/>
        <rFont val="Times New Roman"/>
        <family val="1"/>
      </rPr>
      <t>Date of Stock Price:</t>
    </r>
    <r>
      <rPr>
        <sz val="12"/>
        <color theme="1"/>
        <rFont val="Times New Roman"/>
        <family val="1"/>
      </rPr>
      <t xml:space="preserve"> 31-Mar-2025</t>
    </r>
  </si>
  <si>
    <r>
      <rPr>
        <b/>
        <sz val="12"/>
        <color theme="1"/>
        <rFont val="Times New Roman"/>
        <family val="1"/>
      </rPr>
      <t>52-week High:</t>
    </r>
    <r>
      <rPr>
        <sz val="12"/>
        <color theme="1"/>
        <rFont val="Times New Roman"/>
        <family val="1"/>
      </rPr>
      <t xml:space="preserve"> 807</t>
    </r>
  </si>
  <si>
    <r>
      <rPr>
        <b/>
        <sz val="12"/>
        <color theme="1"/>
        <rFont val="Times New Roman"/>
        <family val="1"/>
      </rPr>
      <t>52-week Low</t>
    </r>
    <r>
      <rPr>
        <sz val="12"/>
        <color theme="1"/>
        <rFont val="Times New Roman"/>
        <family val="1"/>
      </rPr>
      <t>: 285</t>
    </r>
  </si>
  <si>
    <r>
      <rPr>
        <b/>
        <sz val="12"/>
        <color theme="1"/>
        <rFont val="Times New Roman"/>
        <family val="1"/>
      </rPr>
      <t>Market Cap (Tcr)</t>
    </r>
    <r>
      <rPr>
        <sz val="12"/>
        <color theme="1"/>
        <rFont val="Times New Roman"/>
        <family val="1"/>
      </rPr>
      <t>: 2.40</t>
    </r>
  </si>
  <si>
    <r>
      <rPr>
        <b/>
        <sz val="12"/>
        <color theme="1"/>
        <rFont val="Times New Roman"/>
        <family val="1"/>
      </rPr>
      <t>Price/Sales 2023</t>
    </r>
    <r>
      <rPr>
        <sz val="12"/>
        <color theme="1"/>
        <rFont val="Times New Roman"/>
        <family val="1"/>
      </rPr>
      <t>: 8.0</t>
    </r>
  </si>
  <si>
    <r>
      <rPr>
        <b/>
        <sz val="12"/>
        <color theme="1"/>
        <rFont val="Times New Roman"/>
        <family val="1"/>
      </rPr>
      <t>ROE 2023</t>
    </r>
    <r>
      <rPr>
        <sz val="12"/>
        <color theme="1"/>
        <rFont val="Times New Roman"/>
        <family val="1"/>
      </rPr>
      <t>: 0.50</t>
    </r>
  </si>
  <si>
    <r>
      <rPr>
        <b/>
        <sz val="12"/>
        <color theme="1"/>
        <rFont val="Times New Roman"/>
        <family val="1"/>
      </rPr>
      <t>Total Debt/Equity 2023:</t>
    </r>
    <r>
      <rPr>
        <sz val="12"/>
        <color theme="1"/>
        <rFont val="Times New Roman"/>
        <family val="1"/>
      </rPr>
      <t xml:space="preserve"> 0.05</t>
    </r>
  </si>
  <si>
    <r>
      <rPr>
        <b/>
        <sz val="12"/>
        <color theme="1"/>
        <rFont val="Times New Roman"/>
        <family val="1"/>
      </rPr>
      <t>Primary Shares Outstanding (cr)</t>
    </r>
    <r>
      <rPr>
        <sz val="12"/>
        <color theme="1"/>
        <rFont val="Times New Roman"/>
        <family val="1"/>
      </rPr>
      <t>: 422</t>
    </r>
  </si>
  <si>
    <t>India’s largest producer of zinc, lead, and silver</t>
  </si>
  <si>
    <t>Subsidiary of Vedanta Limited</t>
  </si>
  <si>
    <t>Operates integrated mining and smelting units mainly in Rajasthan</t>
  </si>
  <si>
    <t>Supplies metals to construction, automobile, infrastructure, and electronics industries</t>
  </si>
  <si>
    <t>Known for low production cost, strong profits, and high dividend payouts</t>
  </si>
  <si>
    <t>Major player in India’s non-ferrous metals sector</t>
  </si>
  <si>
    <t>RATIO ANALYSIS</t>
  </si>
  <si>
    <t>PAT/TOTAL ASSESTS</t>
  </si>
  <si>
    <t>LIQUIDITY RATIOS</t>
  </si>
  <si>
    <t>Current Ratio</t>
  </si>
  <si>
    <t>Very high in 2021–22 showing excess liquidity</t>
  </si>
  <si>
    <t>Sharp fall in 2023 indicates pressure on working capital</t>
  </si>
  <si>
    <t>Stabilizes near 1 in later years showing adequate liquidity</t>
  </si>
  <si>
    <t>Quick Ratio</t>
  </si>
  <si>
    <t>Follows same pattern as current ratio</t>
  </si>
  <si>
    <t>Decline after 2022 shows reduced liquid assets</t>
  </si>
  <si>
    <t>Later years indicate controlled short-term solvency</t>
  </si>
  <si>
    <t>Cash Ratio</t>
  </si>
  <si>
    <t>Strong cash position initially</t>
  </si>
  <si>
    <t>Falls after 2022 suggesting cash utilization</t>
  </si>
  <si>
    <t>Slight recovery later shows balanced cash management</t>
  </si>
  <si>
    <t>Debtor Days</t>
  </si>
  <si>
    <t>Continuous decline across years</t>
  </si>
  <si>
    <t>Indicates faster receivable collection</t>
  </si>
  <si>
    <t>Reflects improved credit management</t>
  </si>
  <si>
    <t>Creditor Days</t>
  </si>
  <si>
    <t>Remains high and stable</t>
  </si>
  <si>
    <t>Shows strong supplier credit support</t>
  </si>
  <si>
    <t>Helps maintain good cash flow position</t>
  </si>
  <si>
    <t>Inventory Days</t>
  </si>
  <si>
    <t>Large fluctuations across years</t>
  </si>
  <si>
    <t>Suggests changes in production levels or demand cycles</t>
  </si>
  <si>
    <t>Indicates inventory management instability</t>
  </si>
  <si>
    <t>Operating Cycle</t>
  </si>
  <si>
    <t>Moves mainly with inventory changes</t>
  </si>
  <si>
    <t>Longer cycle in some years due to stock build-up</t>
  </si>
  <si>
    <t>Overall working capital efficiency depends on inventory control</t>
  </si>
  <si>
    <t>PROFITABILITY RATIOS</t>
  </si>
  <si>
    <t>Declines from 2021 to 2024</t>
  </si>
  <si>
    <t>Improves in 2025</t>
  </si>
  <si>
    <t>Negative in 2026 then rises again</t>
  </si>
  <si>
    <t>Shows volatile earnings performance</t>
  </si>
  <si>
    <t>DPS</t>
  </si>
  <si>
    <t>Highly fluctuating dividend payments</t>
  </si>
  <si>
    <t>Indicates flexible dividend policy</t>
  </si>
  <si>
    <t>Suggests payout depends on profit and cash position</t>
  </si>
  <si>
    <t>Payout Ratio</t>
  </si>
  <si>
    <t>Remains low throughout</t>
  </si>
  <si>
    <t>Shows company distributes small portion of earnings</t>
  </si>
  <si>
    <t>Indicates preference for reinvestment</t>
  </si>
  <si>
    <t>Retention Ratio</t>
  </si>
  <si>
    <t>Very high in all years</t>
  </si>
  <si>
    <t>Shows strong profit retention for growth</t>
  </si>
  <si>
    <t>Reflects expansion-focused strategy</t>
  </si>
  <si>
    <t>EBITDA Margin</t>
  </si>
  <si>
    <t>Steady decline till 2024</t>
  </si>
  <si>
    <t>Slight improvement afterward</t>
  </si>
  <si>
    <t>Indicates cost pressure followed by recovery</t>
  </si>
  <si>
    <t>EBIT Margin</t>
  </si>
  <si>
    <t>Falls significantly in middle years</t>
  </si>
  <si>
    <t>Shows reduced operating efficiency</t>
  </si>
  <si>
    <t>Recovers slightly in later years</t>
  </si>
  <si>
    <t>PBT Margin</t>
  </si>
  <si>
    <t>Continuous fall till 2024</t>
  </si>
  <si>
    <t>Small recovery afterward</t>
  </si>
  <si>
    <t>Reflects pressure on operating profits</t>
  </si>
  <si>
    <t>PAT Margin</t>
  </si>
  <si>
    <t>Drops sharply from 2021 to 2024</t>
  </si>
  <si>
    <t>Improves in later years</t>
  </si>
  <si>
    <t>Shows net profit affected by industry cycle</t>
  </si>
  <si>
    <t>Debt–Equity Ratio</t>
  </si>
  <si>
    <t>Very low in early years</t>
  </si>
  <si>
    <t>Gradual increase till 2026</t>
  </si>
  <si>
    <t>Indicates rising use of debt financing</t>
  </si>
  <si>
    <t>Interest Coverage Ratio</t>
  </si>
  <si>
    <t>Very strong initially</t>
  </si>
  <si>
    <t>Weakens later due to lower profits</t>
  </si>
  <si>
    <t>Still shows ability to service debt in most years</t>
  </si>
  <si>
    <t>RETURN RATIOS</t>
  </si>
  <si>
    <t>Fluctuates widely across years</t>
  </si>
  <si>
    <t>Remains high overall</t>
  </si>
  <si>
    <t>Shows strong shareholder return potential</t>
  </si>
  <si>
    <t>Capital Employed</t>
  </si>
  <si>
    <t>Increasing trend over time</t>
  </si>
  <si>
    <t>Indicates higher investment in business</t>
  </si>
  <si>
    <t>Suggests expansion or funding growth</t>
  </si>
  <si>
    <t>ROCE</t>
  </si>
  <si>
    <t>Highly volatile across years</t>
  </si>
  <si>
    <t>Changes reflect profit movement and investment level</t>
  </si>
  <si>
    <t>Shows sensitivity to operating performance</t>
  </si>
  <si>
    <t>ROA</t>
  </si>
  <si>
    <t>Healthy in most years</t>
  </si>
  <si>
    <t>Drops during low-profit period</t>
  </si>
  <si>
    <t>Improves again later showing efficient asset use</t>
  </si>
  <si>
    <t>VALUATION RATIOS</t>
  </si>
  <si>
    <t>P/E Ratio</t>
  </si>
  <si>
    <t>Moves with earnings changes</t>
  </si>
  <si>
    <t>Negative in 2026 due to loss</t>
  </si>
  <si>
    <t>Returns to normal in later year</t>
  </si>
  <si>
    <t>BVPS</t>
  </si>
  <si>
    <t>Falls in middle years</t>
  </si>
  <si>
    <t>Rises again afterward</t>
  </si>
  <si>
    <t>Shows fluctuations in net worth per share</t>
  </si>
  <si>
    <t>P/B Ratio</t>
  </si>
  <si>
    <t>Remains low across years</t>
  </si>
  <si>
    <t>Suggests stock not highly overvalued</t>
  </si>
  <si>
    <t>Reflects stable market perception</t>
  </si>
  <si>
    <t>Sales per Share</t>
  </si>
  <si>
    <t>Overall increasing trend</t>
  </si>
  <si>
    <t>Indicates growth in revenue base</t>
  </si>
  <si>
    <t>Shows expansion of business scale</t>
  </si>
  <si>
    <t>P/S Ratio</t>
  </si>
  <si>
    <t>Mostly stable across years</t>
  </si>
  <si>
    <t>Suggests share price moves with revenue</t>
  </si>
  <si>
    <t>Indicates steady valuation level</t>
  </si>
  <si>
    <t>Dividend Yield</t>
  </si>
  <si>
    <t>Fluctuates significantly</t>
  </si>
  <si>
    <t>Depends on dividend changes and share price</t>
  </si>
  <si>
    <t>Shows inconsistent income return to investors</t>
  </si>
  <si>
    <t>ACTIVITY RATIOS</t>
  </si>
  <si>
    <t>RELATIVE VALUATION</t>
  </si>
  <si>
    <t>New/Old -1</t>
  </si>
  <si>
    <t>COMPANY NAME</t>
  </si>
  <si>
    <t>NET PROFIT MARGIN</t>
  </si>
  <si>
    <t>OPERATING PROFIT MARGIN</t>
  </si>
  <si>
    <t>REVENUE GROWTH</t>
  </si>
  <si>
    <t>PE</t>
  </si>
  <si>
    <t>Emami LTD</t>
  </si>
  <si>
    <t>Patanjali Food Ltd</t>
  </si>
  <si>
    <t>Industry Standards</t>
  </si>
  <si>
    <t>INVESTMENT DECISION</t>
  </si>
  <si>
    <t>Hindustan unilever ltd</t>
  </si>
  <si>
    <t xml:space="preserve"> HUL: Market leader, strong brands, stable business, low risk.</t>
  </si>
  <si>
    <t xml:space="preserve"> Patanjali: Strong brand appeal but less stability, higher risk</t>
  </si>
  <si>
    <t>Emami: Good company but limited product range, moderate risk</t>
  </si>
  <si>
    <t xml:space="preserve">HINDUSTAN ZINC </t>
  </si>
  <si>
    <t xml:space="preserve">Hindustan Zinc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</si>
</sst>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%"/>
    <numFmt numFmtId="165" formatCode="0.000"/>
    <numFmt numFmtId="166" formatCode="&quot;₹&quot;\ #,##0.00"/>
  </numFmts>
  <fonts count="22" x14ac:knownFonts="1">
    <font>
      <sz val="11"/>
      <color theme="1"/>
      <name val="Aptos Narrow"/>
      <family val="2"/>
      <scheme val="minor"/>
    </font>
    <font>
      <b/>
      <sz val="14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rgb="FFC00000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8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rgb="FF212529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8"/>
      <color rgb="FF333333"/>
      <name val="Arial"/>
      <family val="2"/>
    </font>
    <font>
      <sz val="12"/>
      <color rgb="FF333333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1D1D1"/>
      </top>
      <bottom style="medium">
        <color rgb="FFEBEBEB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93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3" borderId="0" xfId="0" applyFont="1" applyFill="1"/>
    <xf numFmtId="164" fontId="4" fillId="0" borderId="0" xfId="1" applyNumberFormat="1" applyFont="1"/>
    <xf numFmtId="164" fontId="3" fillId="0" borderId="0" xfId="1" applyNumberFormat="1" applyFont="1"/>
    <xf numFmtId="0" fontId="2" fillId="3" borderId="0" xfId="0" applyFont="1" applyFill="1"/>
    <xf numFmtId="1" fontId="4" fillId="0" borderId="0" xfId="0" applyNumberFormat="1" applyFont="1"/>
    <xf numFmtId="2" fontId="3" fillId="0" borderId="0" xfId="0" applyNumberFormat="1" applyFont="1"/>
    <xf numFmtId="0" fontId="7" fillId="0" borderId="0" xfId="0" applyFont="1"/>
    <xf numFmtId="2" fontId="0" fillId="0" borderId="0" xfId="0" applyNumberFormat="1"/>
    <xf numFmtId="0" fontId="8" fillId="3" borderId="0" xfId="0" applyFont="1" applyFill="1"/>
    <xf numFmtId="0" fontId="9" fillId="0" borderId="0" xfId="0" applyFont="1"/>
    <xf numFmtId="2" fontId="9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0" fillId="0" borderId="0" xfId="0" applyFont="1"/>
    <xf numFmtId="0" fontId="10" fillId="5" borderId="0" xfId="0" applyFont="1" applyFill="1"/>
    <xf numFmtId="9" fontId="3" fillId="0" borderId="0" xfId="1" applyFont="1"/>
    <xf numFmtId="164" fontId="3" fillId="0" borderId="0" xfId="0" applyNumberFormat="1" applyFont="1"/>
    <xf numFmtId="0" fontId="8" fillId="0" borderId="0" xfId="0" applyFont="1"/>
    <xf numFmtId="10" fontId="3" fillId="0" borderId="0" xfId="1" applyNumberFormat="1" applyFont="1"/>
    <xf numFmtId="10" fontId="3" fillId="0" borderId="0" xfId="0" applyNumberFormat="1" applyFont="1"/>
    <xf numFmtId="0" fontId="11" fillId="0" borderId="0" xfId="0" applyFont="1"/>
    <xf numFmtId="165" fontId="3" fillId="0" borderId="0" xfId="0" applyNumberFormat="1" applyFont="1"/>
    <xf numFmtId="165" fontId="11" fillId="0" borderId="0" xfId="0" applyNumberFormat="1" applyFont="1"/>
    <xf numFmtId="0" fontId="12" fillId="2" borderId="0" xfId="0" applyFont="1" applyFill="1" applyAlignment="1">
      <alignment horizontal="center"/>
    </xf>
    <xf numFmtId="1" fontId="3" fillId="0" borderId="0" xfId="0" applyNumberFormat="1" applyFont="1"/>
    <xf numFmtId="0" fontId="13" fillId="2" borderId="0" xfId="0" applyFont="1" applyFill="1"/>
    <xf numFmtId="2" fontId="3" fillId="0" borderId="0" xfId="2" applyNumberFormat="1" applyFont="1"/>
    <xf numFmtId="0" fontId="3" fillId="4" borderId="0" xfId="0" applyFont="1" applyFill="1"/>
    <xf numFmtId="2" fontId="3" fillId="4" borderId="0" xfId="0" applyNumberFormat="1" applyFont="1" applyFill="1"/>
    <xf numFmtId="0" fontId="5" fillId="4" borderId="0" xfId="0" applyFont="1" applyFill="1"/>
    <xf numFmtId="2" fontId="2" fillId="4" borderId="0" xfId="0" applyNumberFormat="1" applyFont="1" applyFill="1"/>
    <xf numFmtId="0" fontId="2" fillId="4" borderId="0" xfId="0" applyFont="1" applyFill="1"/>
    <xf numFmtId="164" fontId="2" fillId="4" borderId="0" xfId="1" applyNumberFormat="1" applyFont="1" applyFill="1"/>
    <xf numFmtId="0" fontId="3" fillId="0" borderId="0" xfId="0" applyFont="1" applyAlignment="1">
      <alignment horizontal="center"/>
    </xf>
    <xf numFmtId="9" fontId="2" fillId="4" borderId="0" xfId="1" applyFont="1" applyFill="1"/>
    <xf numFmtId="10" fontId="2" fillId="4" borderId="0" xfId="1" applyNumberFormat="1" applyFont="1" applyFill="1"/>
    <xf numFmtId="0" fontId="4" fillId="5" borderId="0" xfId="0" applyFont="1" applyFill="1"/>
    <xf numFmtId="0" fontId="0" fillId="5" borderId="0" xfId="0" applyFill="1"/>
    <xf numFmtId="4" fontId="4" fillId="0" borderId="0" xfId="0" applyNumberFormat="1" applyFont="1"/>
    <xf numFmtId="0" fontId="15" fillId="0" borderId="0" xfId="0" applyFont="1"/>
    <xf numFmtId="10" fontId="15" fillId="0" borderId="0" xfId="0" applyNumberFormat="1" applyFont="1"/>
    <xf numFmtId="10" fontId="3" fillId="5" borderId="0" xfId="1" applyNumberFormat="1" applyFont="1" applyFill="1"/>
    <xf numFmtId="0" fontId="16" fillId="0" borderId="0" xfId="0" applyFont="1"/>
    <xf numFmtId="0" fontId="2" fillId="4" borderId="0" xfId="0" applyFont="1" applyFill="1" applyAlignment="1">
      <alignment horizontal="center"/>
    </xf>
    <xf numFmtId="4" fontId="3" fillId="0" borderId="0" xfId="0" applyNumberFormat="1" applyFont="1"/>
    <xf numFmtId="0" fontId="2" fillId="6" borderId="0" xfId="0" applyFont="1" applyFill="1" applyAlignment="1">
      <alignment horizontal="center"/>
    </xf>
    <xf numFmtId="0" fontId="3" fillId="6" borderId="0" xfId="0" applyFont="1" applyFill="1"/>
    <xf numFmtId="0" fontId="3" fillId="7" borderId="0" xfId="0" applyFont="1" applyFill="1"/>
    <xf numFmtId="0" fontId="12" fillId="7" borderId="0" xfId="0" applyFont="1" applyFill="1"/>
    <xf numFmtId="14" fontId="3" fillId="0" borderId="0" xfId="0" applyNumberFormat="1" applyFont="1"/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4" fillId="0" borderId="0" xfId="0" quotePrefix="1" applyFont="1" applyAlignment="1">
      <alignment horizontal="center" wrapText="1"/>
    </xf>
    <xf numFmtId="0" fontId="17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vertical="center" wrapText="1"/>
    </xf>
    <xf numFmtId="0" fontId="12" fillId="2" borderId="0" xfId="0" applyFont="1" applyFill="1"/>
    <xf numFmtId="0" fontId="1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14" fontId="13" fillId="2" borderId="0" xfId="0" applyNumberFormat="1" applyFont="1" applyFill="1"/>
    <xf numFmtId="0" fontId="13" fillId="2" borderId="0" xfId="0" applyFont="1" applyFill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/>
    <xf numFmtId="0" fontId="13" fillId="8" borderId="0" xfId="0" applyFont="1" applyFill="1"/>
    <xf numFmtId="0" fontId="19" fillId="2" borderId="0" xfId="0" applyFont="1" applyFill="1"/>
    <xf numFmtId="0" fontId="13" fillId="5" borderId="0" xfId="0" applyFont="1" applyFill="1"/>
    <xf numFmtId="0" fontId="5" fillId="5" borderId="0" xfId="0" applyFont="1" applyFill="1"/>
    <xf numFmtId="0" fontId="18" fillId="5" borderId="0" xfId="0" applyFont="1" applyFill="1"/>
    <xf numFmtId="166" fontId="3" fillId="0" borderId="0" xfId="0" applyNumberFormat="1" applyFont="1"/>
    <xf numFmtId="164" fontId="0" fillId="0" borderId="0" xfId="1" applyNumberFormat="1" applyFont="1"/>
    <xf numFmtId="0" fontId="20" fillId="9" borderId="1" xfId="0" applyFont="1" applyFill="1" applyBorder="1" applyAlignment="1">
      <alignment horizontal="right" vertical="center" wrapText="1"/>
    </xf>
    <xf numFmtId="2" fontId="0" fillId="0" borderId="0" xfId="1" applyNumberFormat="1" applyFont="1"/>
    <xf numFmtId="2" fontId="21" fillId="9" borderId="1" xfId="1" applyNumberFormat="1" applyFont="1" applyFill="1" applyBorder="1" applyAlignment="1">
      <alignment horizontal="right" vertical="center" wrapText="1"/>
    </xf>
    <xf numFmtId="2" fontId="3" fillId="0" borderId="0" xfId="1" applyNumberFormat="1" applyFont="1"/>
    <xf numFmtId="0" fontId="3" fillId="5" borderId="0" xfId="0" applyFont="1" applyFill="1"/>
    <xf numFmtId="0" fontId="13" fillId="2" borderId="0" xfId="0" applyFont="1" applyFill="1" applyAlignment="1">
      <alignment horizontal="left" vertical="top"/>
    </xf>
    <xf numFmtId="0" fontId="1" fillId="10" borderId="0" xfId="0" applyFon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5</xdr:col>
      <xdr:colOff>60961</xdr:colOff>
      <xdr:row>10</xdr:row>
      <xdr:rowOff>90965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291A27-DE64-AE85-6913-78959E7DF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82880"/>
          <a:ext cx="3108960" cy="173688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411480</xdr:colOff>
      <xdr:row>13</xdr:row>
      <xdr:rowOff>76200</xdr:rowOff>
    </xdr:from>
    <xdr:to>
      <xdr:col>7</xdr:col>
      <xdr:colOff>516646</xdr:colOff>
      <xdr:row>35</xdr:row>
      <xdr:rowOff>30488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6E4CB5-2E94-B646-1C55-CBDBF1841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" y="2453640"/>
          <a:ext cx="5202946" cy="397764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17</xdr:col>
      <xdr:colOff>326146</xdr:colOff>
      <xdr:row>36</xdr:row>
      <xdr:rowOff>137168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EE8803-C0AD-D3C5-63CC-76282FA5D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6980" y="2743200"/>
          <a:ext cx="5202946" cy="39776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7</xdr:col>
      <xdr:colOff>150886</xdr:colOff>
      <xdr:row>59</xdr:row>
      <xdr:rowOff>137168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AE67858-8D5B-D44B-9A7F-256812734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49440"/>
          <a:ext cx="5248666" cy="397764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18</xdr:col>
      <xdr:colOff>207274</xdr:colOff>
      <xdr:row>61</xdr:row>
      <xdr:rowOff>137168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71CB587-C32D-7BDA-9025-4A58E4EED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6580" y="7315200"/>
          <a:ext cx="5084074" cy="39776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7</xdr:col>
      <xdr:colOff>105166</xdr:colOff>
      <xdr:row>84</xdr:row>
      <xdr:rowOff>137168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C7C097E-ACAE-04F3-AF5B-9DB539E0B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521440"/>
          <a:ext cx="5202946" cy="397764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65</xdr:row>
      <xdr:rowOff>0</xdr:rowOff>
    </xdr:from>
    <xdr:to>
      <xdr:col>18</xdr:col>
      <xdr:colOff>207274</xdr:colOff>
      <xdr:row>86</xdr:row>
      <xdr:rowOff>137168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B2C6B77-03CA-06DC-E77C-61A85C856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6580" y="11887200"/>
          <a:ext cx="5084074" cy="39776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7</xdr:col>
      <xdr:colOff>105166</xdr:colOff>
      <xdr:row>109</xdr:row>
      <xdr:rowOff>137168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A23B486-39F1-8C44-951A-834D8B35B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093440"/>
          <a:ext cx="5202946" cy="397764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90</xdr:row>
      <xdr:rowOff>0</xdr:rowOff>
    </xdr:from>
    <xdr:to>
      <xdr:col>18</xdr:col>
      <xdr:colOff>207274</xdr:colOff>
      <xdr:row>111</xdr:row>
      <xdr:rowOff>137168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B721A9B-3734-8F76-831C-E23A1B6D5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6580" y="16459200"/>
          <a:ext cx="5084074" cy="397764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AB70-507B-47FF-A36B-908CC8C064FD}">
  <dimension ref="A14:H42"/>
  <sheetViews>
    <sheetView workbookViewId="0">
      <selection activeCell="F25" sqref="F25"/>
    </sheetView>
  </sheetViews>
  <sheetFormatPr defaultRowHeight="14.4" x14ac:dyDescent="0.3"/>
  <sheetData>
    <row r="14" spans="1:8" ht="15.6" x14ac:dyDescent="0.3">
      <c r="A14" s="75" t="s">
        <v>895</v>
      </c>
      <c r="B14" s="75"/>
      <c r="C14" s="75"/>
      <c r="D14" s="75"/>
      <c r="E14" s="75"/>
      <c r="F14" s="75"/>
      <c r="G14" s="75"/>
      <c r="H14" s="75"/>
    </row>
    <row r="15" spans="1:8" ht="15.6" x14ac:dyDescent="0.3">
      <c r="A15" s="75" t="s">
        <v>896</v>
      </c>
      <c r="B15" s="75"/>
      <c r="C15" s="75"/>
      <c r="D15" s="75"/>
      <c r="E15" s="75"/>
      <c r="F15" s="75"/>
      <c r="G15" s="75"/>
      <c r="H15" s="75"/>
    </row>
    <row r="16" spans="1:8" ht="15.6" x14ac:dyDescent="0.3">
      <c r="A16" s="75" t="s">
        <v>897</v>
      </c>
      <c r="B16" s="75"/>
      <c r="C16" s="75"/>
      <c r="D16" s="75"/>
      <c r="E16" s="75"/>
      <c r="F16" s="75"/>
      <c r="G16" s="75"/>
      <c r="H16" s="75"/>
    </row>
    <row r="17" spans="1:8" ht="15.6" x14ac:dyDescent="0.3">
      <c r="A17" s="75" t="s">
        <v>898</v>
      </c>
      <c r="B17" s="75"/>
      <c r="C17" s="75"/>
      <c r="D17" s="75"/>
      <c r="E17" s="75"/>
      <c r="F17" s="75"/>
      <c r="G17" s="75"/>
      <c r="H17" s="75"/>
    </row>
    <row r="18" spans="1:8" ht="15.6" x14ac:dyDescent="0.3">
      <c r="A18" s="75" t="s">
        <v>899</v>
      </c>
      <c r="B18" s="75"/>
      <c r="C18" s="75"/>
      <c r="D18" s="75"/>
      <c r="E18" s="75"/>
      <c r="F18" s="75"/>
      <c r="G18" s="75"/>
      <c r="H18" s="75"/>
    </row>
    <row r="19" spans="1:8" ht="15.6" x14ac:dyDescent="0.3">
      <c r="A19" s="75" t="s">
        <v>900</v>
      </c>
      <c r="B19" s="75"/>
      <c r="C19" s="75"/>
      <c r="D19" s="75"/>
      <c r="E19" s="75"/>
      <c r="F19" s="75"/>
      <c r="G19" s="75"/>
      <c r="H19" s="75"/>
    </row>
    <row r="22" spans="1:8" ht="15.6" x14ac:dyDescent="0.3">
      <c r="A22" s="76" t="s">
        <v>875</v>
      </c>
      <c r="B22" s="76"/>
      <c r="C22" s="76"/>
      <c r="D22" s="76"/>
      <c r="E22" s="77"/>
      <c r="F22" s="77"/>
    </row>
    <row r="23" spans="1:8" ht="15.6" x14ac:dyDescent="0.3">
      <c r="A23" s="76" t="s">
        <v>876</v>
      </c>
      <c r="B23" s="76"/>
      <c r="C23" s="76"/>
      <c r="D23" s="76"/>
      <c r="E23" s="77"/>
      <c r="F23" s="77"/>
    </row>
    <row r="24" spans="1:8" ht="15.6" x14ac:dyDescent="0.3">
      <c r="A24" s="76" t="s">
        <v>877</v>
      </c>
      <c r="B24" s="76"/>
      <c r="C24" s="76"/>
      <c r="D24" s="76"/>
      <c r="E24" s="77"/>
      <c r="F24" s="77"/>
    </row>
    <row r="25" spans="1:8" ht="15.6" x14ac:dyDescent="0.3">
      <c r="A25" s="76" t="s">
        <v>878</v>
      </c>
      <c r="B25" s="76"/>
      <c r="C25" s="76"/>
      <c r="D25" s="76"/>
      <c r="E25" s="77"/>
      <c r="F25" s="77"/>
    </row>
    <row r="26" spans="1:8" ht="15.6" x14ac:dyDescent="0.3">
      <c r="A26" s="76" t="s">
        <v>879</v>
      </c>
      <c r="B26" s="76"/>
      <c r="C26" s="76"/>
      <c r="D26" s="76"/>
      <c r="E26" s="77"/>
      <c r="F26" s="77"/>
    </row>
    <row r="27" spans="1:8" ht="15.6" x14ac:dyDescent="0.3">
      <c r="A27" s="76" t="s">
        <v>880</v>
      </c>
      <c r="B27" s="76"/>
      <c r="C27" s="76"/>
      <c r="D27" s="76"/>
      <c r="E27" s="77"/>
      <c r="F27" s="77"/>
    </row>
    <row r="28" spans="1:8" ht="15.6" x14ac:dyDescent="0.3">
      <c r="A28" s="76" t="s">
        <v>881</v>
      </c>
      <c r="B28" s="76"/>
      <c r="C28" s="76"/>
      <c r="D28" s="76"/>
      <c r="E28" s="77"/>
      <c r="F28" s="77"/>
    </row>
    <row r="29" spans="1:8" ht="15.6" x14ac:dyDescent="0.3">
      <c r="A29" s="76" t="s">
        <v>882</v>
      </c>
      <c r="B29" s="76"/>
      <c r="C29" s="76"/>
      <c r="D29" s="76"/>
      <c r="E29" s="77"/>
      <c r="F29" s="77"/>
    </row>
    <row r="30" spans="1:8" ht="15.6" x14ac:dyDescent="0.3">
      <c r="A30" s="76" t="s">
        <v>883</v>
      </c>
      <c r="B30" s="76"/>
      <c r="C30" s="76"/>
      <c r="D30" s="76"/>
      <c r="E30" s="77"/>
      <c r="F30" s="77"/>
    </row>
    <row r="31" spans="1:8" ht="15.6" x14ac:dyDescent="0.3">
      <c r="A31" s="76" t="s">
        <v>884</v>
      </c>
      <c r="B31" s="76"/>
      <c r="C31" s="76"/>
      <c r="D31" s="76"/>
      <c r="E31" s="77"/>
      <c r="F31" s="77"/>
    </row>
    <row r="32" spans="1:8" ht="15.6" x14ac:dyDescent="0.3">
      <c r="A32" s="76" t="s">
        <v>885</v>
      </c>
      <c r="B32" s="76"/>
      <c r="C32" s="76"/>
      <c r="D32" s="76"/>
      <c r="E32" s="77"/>
      <c r="F32" s="77"/>
    </row>
    <row r="33" spans="1:6" ht="15.6" x14ac:dyDescent="0.3">
      <c r="A33" s="76" t="s">
        <v>886</v>
      </c>
      <c r="B33" s="76"/>
      <c r="C33" s="76"/>
      <c r="D33" s="76"/>
      <c r="E33" s="77"/>
      <c r="F33" s="77"/>
    </row>
    <row r="34" spans="1:6" ht="15.6" x14ac:dyDescent="0.3">
      <c r="A34" s="76" t="s">
        <v>887</v>
      </c>
      <c r="B34" s="76"/>
      <c r="C34" s="76"/>
      <c r="D34" s="76"/>
      <c r="E34" s="77"/>
      <c r="F34" s="77"/>
    </row>
    <row r="35" spans="1:6" ht="15.6" x14ac:dyDescent="0.3">
      <c r="A35" s="76" t="s">
        <v>888</v>
      </c>
      <c r="B35" s="76"/>
      <c r="C35" s="76"/>
      <c r="D35" s="76"/>
      <c r="E35" s="77"/>
      <c r="F35" s="77"/>
    </row>
    <row r="36" spans="1:6" ht="15.6" x14ac:dyDescent="0.3">
      <c r="A36" s="76" t="s">
        <v>889</v>
      </c>
      <c r="B36" s="76"/>
      <c r="C36" s="76"/>
      <c r="D36" s="76"/>
      <c r="E36" s="77"/>
      <c r="F36" s="77"/>
    </row>
    <row r="37" spans="1:6" ht="15.6" x14ac:dyDescent="0.3">
      <c r="A37" s="76" t="s">
        <v>890</v>
      </c>
      <c r="B37" s="76"/>
      <c r="C37" s="76"/>
      <c r="D37" s="76"/>
      <c r="E37" s="77"/>
      <c r="F37" s="77"/>
    </row>
    <row r="38" spans="1:6" ht="15.6" x14ac:dyDescent="0.3">
      <c r="A38" s="76" t="s">
        <v>891</v>
      </c>
      <c r="B38" s="76"/>
      <c r="C38" s="76"/>
      <c r="D38" s="76"/>
      <c r="E38" s="77"/>
      <c r="F38" s="77"/>
    </row>
    <row r="39" spans="1:6" ht="15.6" x14ac:dyDescent="0.3">
      <c r="A39" s="76" t="s">
        <v>892</v>
      </c>
      <c r="B39" s="76"/>
      <c r="C39" s="76"/>
      <c r="D39" s="76"/>
      <c r="E39" s="77"/>
      <c r="F39" s="77"/>
    </row>
    <row r="40" spans="1:6" ht="15.6" x14ac:dyDescent="0.3">
      <c r="A40" s="76" t="s">
        <v>893</v>
      </c>
      <c r="B40" s="76"/>
      <c r="C40" s="76"/>
      <c r="D40" s="76"/>
      <c r="E40" s="77"/>
      <c r="F40" s="77"/>
    </row>
    <row r="41" spans="1:6" ht="15.6" x14ac:dyDescent="0.3">
      <c r="A41" s="76" t="s">
        <v>894</v>
      </c>
      <c r="B41" s="76"/>
      <c r="C41" s="76"/>
      <c r="D41" s="76"/>
      <c r="E41" s="77"/>
      <c r="F41" s="77"/>
    </row>
    <row r="42" spans="1:6" ht="15.6" x14ac:dyDescent="0.3">
      <c r="A42" s="8"/>
      <c r="B42" s="8"/>
      <c r="C42" s="8"/>
      <c r="D42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DE067-69EF-4466-97B9-111A3C47E504}">
  <dimension ref="A2:E60"/>
  <sheetViews>
    <sheetView zoomScale="95" workbookViewId="0">
      <selection activeCell="D51" sqref="D51"/>
    </sheetView>
  </sheetViews>
  <sheetFormatPr defaultRowHeight="14.4" x14ac:dyDescent="0.3"/>
  <cols>
    <col min="1" max="1" width="16.77734375" customWidth="1"/>
    <col min="2" max="2" width="23.109375" customWidth="1"/>
    <col min="3" max="3" width="14.109375" customWidth="1"/>
    <col min="4" max="4" width="16.88671875" customWidth="1"/>
    <col min="5" max="5" width="16.77734375" customWidth="1"/>
  </cols>
  <sheetData>
    <row r="2" spans="1:5" ht="15.6" x14ac:dyDescent="0.3">
      <c r="A2" s="69" t="s">
        <v>866</v>
      </c>
      <c r="B2" s="69"/>
      <c r="C2" s="69"/>
      <c r="D2" s="69"/>
      <c r="E2" s="69"/>
    </row>
    <row r="3" spans="1:5" ht="15.6" x14ac:dyDescent="0.3">
      <c r="A3" s="63" t="s">
        <v>811</v>
      </c>
      <c r="B3" s="63" t="s">
        <v>812</v>
      </c>
      <c r="C3" s="63" t="s">
        <v>14</v>
      </c>
      <c r="D3" s="63" t="s">
        <v>17</v>
      </c>
      <c r="E3" s="63" t="s">
        <v>24</v>
      </c>
    </row>
    <row r="4" spans="1:5" ht="15.6" x14ac:dyDescent="0.3">
      <c r="A4" s="64">
        <v>2021</v>
      </c>
      <c r="B4" s="65">
        <v>22071</v>
      </c>
      <c r="C4" s="65">
        <v>15844</v>
      </c>
      <c r="D4" s="65">
        <v>15132</v>
      </c>
      <c r="E4" s="65">
        <v>12152</v>
      </c>
    </row>
    <row r="5" spans="1:5" ht="15.6" x14ac:dyDescent="0.3">
      <c r="A5" s="64">
        <v>2022</v>
      </c>
      <c r="B5" s="65">
        <v>28790</v>
      </c>
      <c r="C5" s="65">
        <v>15575</v>
      </c>
      <c r="D5" s="65">
        <v>13877</v>
      </c>
      <c r="E5" s="65">
        <v>9116</v>
      </c>
    </row>
    <row r="6" spans="1:5" ht="15.6" x14ac:dyDescent="0.3">
      <c r="A6" s="64">
        <v>2023</v>
      </c>
      <c r="B6" s="65">
        <v>33272</v>
      </c>
      <c r="C6" s="65">
        <v>16680</v>
      </c>
      <c r="D6" s="65">
        <v>14795</v>
      </c>
      <c r="E6" s="65">
        <v>9685</v>
      </c>
    </row>
    <row r="7" spans="1:5" ht="15.6" x14ac:dyDescent="0.3">
      <c r="A7" s="64">
        <v>2024</v>
      </c>
      <c r="B7" s="65">
        <v>28082</v>
      </c>
      <c r="C7" s="65">
        <v>12806</v>
      </c>
      <c r="D7" s="65">
        <v>10412</v>
      </c>
      <c r="E7" s="65">
        <v>6909</v>
      </c>
    </row>
    <row r="8" spans="1:5" ht="15.6" x14ac:dyDescent="0.3">
      <c r="A8" s="64">
        <v>2025</v>
      </c>
      <c r="B8" s="65">
        <v>33041</v>
      </c>
      <c r="C8" s="65">
        <v>16346</v>
      </c>
      <c r="D8" s="65">
        <v>13689</v>
      </c>
      <c r="E8" s="65">
        <v>9394</v>
      </c>
    </row>
    <row r="9" spans="1:5" ht="15.6" x14ac:dyDescent="0.3">
      <c r="A9" s="64" t="s">
        <v>813</v>
      </c>
      <c r="B9" s="65">
        <v>39019</v>
      </c>
      <c r="C9" s="65">
        <v>19483</v>
      </c>
      <c r="D9" s="65">
        <v>-1041</v>
      </c>
      <c r="E9" s="65">
        <v>-1507</v>
      </c>
    </row>
    <row r="10" spans="1:5" ht="15.6" x14ac:dyDescent="0.3">
      <c r="A10" s="64" t="s">
        <v>814</v>
      </c>
      <c r="B10" s="65">
        <v>62511</v>
      </c>
      <c r="C10" s="65">
        <v>31160</v>
      </c>
      <c r="D10" s="65">
        <v>27705</v>
      </c>
      <c r="E10" s="65">
        <v>20591</v>
      </c>
    </row>
    <row r="11" spans="1:5" ht="15.6" x14ac:dyDescent="0.3">
      <c r="A11" s="8"/>
      <c r="B11" s="8"/>
      <c r="C11" s="8"/>
      <c r="D11" s="8"/>
      <c r="E11" s="8"/>
    </row>
    <row r="12" spans="1:5" ht="15.6" x14ac:dyDescent="0.3">
      <c r="A12" s="35" t="s">
        <v>861</v>
      </c>
      <c r="B12" s="35"/>
      <c r="C12" s="70"/>
      <c r="D12" s="70"/>
      <c r="E12" s="8"/>
    </row>
    <row r="13" spans="1:5" ht="15.6" x14ac:dyDescent="0.3">
      <c r="A13" s="63" t="s">
        <v>811</v>
      </c>
      <c r="B13" s="63" t="s">
        <v>815</v>
      </c>
      <c r="C13" s="63" t="s">
        <v>816</v>
      </c>
      <c r="D13" s="63" t="s">
        <v>817</v>
      </c>
      <c r="E13" s="8"/>
    </row>
    <row r="14" spans="1:5" ht="15.6" x14ac:dyDescent="0.3">
      <c r="A14" s="64">
        <v>2021</v>
      </c>
      <c r="B14" s="66">
        <v>0.71799999999999997</v>
      </c>
      <c r="C14" s="66">
        <v>0.68600000000000005</v>
      </c>
      <c r="D14" s="66">
        <v>0.55100000000000005</v>
      </c>
      <c r="E14" s="8"/>
    </row>
    <row r="15" spans="1:5" ht="15.6" x14ac:dyDescent="0.3">
      <c r="A15" s="64">
        <v>2022</v>
      </c>
      <c r="B15" s="66">
        <v>0.54100000000000004</v>
      </c>
      <c r="C15" s="66">
        <v>0.48199999999999998</v>
      </c>
      <c r="D15" s="66">
        <v>0.317</v>
      </c>
      <c r="E15" s="8"/>
    </row>
    <row r="16" spans="1:5" ht="15.6" x14ac:dyDescent="0.3">
      <c r="A16" s="64">
        <v>2023</v>
      </c>
      <c r="B16" s="66">
        <v>0.501</v>
      </c>
      <c r="C16" s="66">
        <v>0.44500000000000001</v>
      </c>
      <c r="D16" s="66">
        <v>0.29099999999999998</v>
      </c>
      <c r="E16" s="8"/>
    </row>
    <row r="17" spans="1:5" ht="15.6" x14ac:dyDescent="0.3">
      <c r="A17" s="64">
        <v>2024</v>
      </c>
      <c r="B17" s="66">
        <v>0.45600000000000002</v>
      </c>
      <c r="C17" s="66">
        <v>0.371</v>
      </c>
      <c r="D17" s="66">
        <v>0.246</v>
      </c>
      <c r="E17" s="8"/>
    </row>
    <row r="18" spans="1:5" ht="15.6" x14ac:dyDescent="0.3">
      <c r="A18" s="64">
        <v>2025</v>
      </c>
      <c r="B18" s="66">
        <v>0.495</v>
      </c>
      <c r="C18" s="66">
        <v>0.41399999999999998</v>
      </c>
      <c r="D18" s="66">
        <v>0.28399999999999997</v>
      </c>
      <c r="E18" s="8"/>
    </row>
    <row r="19" spans="1:5" ht="15.6" x14ac:dyDescent="0.3">
      <c r="A19" s="64" t="s">
        <v>813</v>
      </c>
      <c r="B19" s="66">
        <v>0.499</v>
      </c>
      <c r="C19" s="64"/>
      <c r="D19" s="64"/>
      <c r="E19" s="8"/>
    </row>
    <row r="20" spans="1:5" ht="15.6" x14ac:dyDescent="0.3">
      <c r="A20" s="64" t="s">
        <v>814</v>
      </c>
      <c r="B20" s="66">
        <v>0.498</v>
      </c>
      <c r="C20" s="66">
        <v>0.443</v>
      </c>
      <c r="D20" s="66">
        <v>0.32900000000000001</v>
      </c>
      <c r="E20" s="8"/>
    </row>
    <row r="21" spans="1:5" ht="15.6" x14ac:dyDescent="0.3">
      <c r="A21" s="43"/>
      <c r="B21" s="43"/>
      <c r="C21" s="43"/>
      <c r="D21" s="43"/>
      <c r="E21" s="43"/>
    </row>
    <row r="22" spans="1:5" ht="15.6" x14ac:dyDescent="0.3">
      <c r="A22" s="71" t="s">
        <v>862</v>
      </c>
      <c r="B22" s="71"/>
      <c r="C22" s="72"/>
      <c r="D22" s="72"/>
      <c r="E22" s="43"/>
    </row>
    <row r="23" spans="1:5" ht="15.6" x14ac:dyDescent="0.3">
      <c r="A23" s="63" t="s">
        <v>811</v>
      </c>
      <c r="B23" s="63" t="s">
        <v>821</v>
      </c>
      <c r="C23" s="63" t="s">
        <v>822</v>
      </c>
      <c r="D23" s="63" t="s">
        <v>53</v>
      </c>
      <c r="E23" s="43"/>
    </row>
    <row r="24" spans="1:5" ht="15.6" x14ac:dyDescent="0.3">
      <c r="A24" s="64">
        <v>2021</v>
      </c>
      <c r="B24" s="65">
        <v>36126</v>
      </c>
      <c r="C24" s="65">
        <v>25361</v>
      </c>
      <c r="D24" s="65">
        <v>36126</v>
      </c>
      <c r="E24" s="43"/>
    </row>
    <row r="25" spans="1:5" ht="15.6" x14ac:dyDescent="0.3">
      <c r="A25" s="64">
        <v>2022</v>
      </c>
      <c r="B25" s="65">
        <v>41824</v>
      </c>
      <c r="C25" s="65">
        <v>28269</v>
      </c>
      <c r="D25" s="65">
        <v>41824</v>
      </c>
      <c r="E25" s="43"/>
    </row>
    <row r="26" spans="1:5" ht="15.6" x14ac:dyDescent="0.3">
      <c r="A26" s="64">
        <v>2023</v>
      </c>
      <c r="B26" s="65">
        <v>47512</v>
      </c>
      <c r="C26" s="65">
        <v>31874</v>
      </c>
      <c r="D26" s="65">
        <v>47512</v>
      </c>
      <c r="E26" s="43"/>
    </row>
    <row r="27" spans="1:5" ht="15.6" x14ac:dyDescent="0.3">
      <c r="A27" s="64">
        <v>2024</v>
      </c>
      <c r="B27" s="65">
        <v>51364</v>
      </c>
      <c r="C27" s="65">
        <v>34217</v>
      </c>
      <c r="D27" s="65">
        <v>51364</v>
      </c>
      <c r="E27" s="43"/>
    </row>
    <row r="28" spans="1:5" ht="15.6" x14ac:dyDescent="0.3">
      <c r="A28" s="64">
        <v>2025</v>
      </c>
      <c r="B28" s="65">
        <v>56772</v>
      </c>
      <c r="C28" s="65">
        <v>37985</v>
      </c>
      <c r="D28" s="65">
        <v>56772</v>
      </c>
      <c r="E28" s="43"/>
    </row>
    <row r="29" spans="1:5" ht="15.6" x14ac:dyDescent="0.3">
      <c r="A29" s="64" t="s">
        <v>813</v>
      </c>
      <c r="B29" s="65">
        <v>63984</v>
      </c>
      <c r="C29" s="65">
        <v>41765</v>
      </c>
      <c r="D29" s="65">
        <v>63984</v>
      </c>
      <c r="E29" s="43"/>
    </row>
    <row r="30" spans="1:5" ht="15.6" x14ac:dyDescent="0.3">
      <c r="A30" s="64" t="s">
        <v>814</v>
      </c>
      <c r="B30" s="65">
        <v>71908</v>
      </c>
      <c r="C30" s="65">
        <v>46153</v>
      </c>
      <c r="D30" s="65">
        <v>71908</v>
      </c>
      <c r="E30" s="43"/>
    </row>
    <row r="31" spans="1:5" ht="15.6" x14ac:dyDescent="0.3">
      <c r="A31" s="43"/>
      <c r="B31" s="43"/>
      <c r="C31" s="43"/>
      <c r="D31" s="43"/>
      <c r="E31" s="43"/>
    </row>
    <row r="32" spans="1:5" ht="15.6" x14ac:dyDescent="0.3">
      <c r="A32" s="71" t="s">
        <v>863</v>
      </c>
      <c r="B32" s="71"/>
      <c r="C32" s="33"/>
      <c r="D32" s="33"/>
      <c r="E32" s="33"/>
    </row>
    <row r="33" spans="1:5" ht="15.6" x14ac:dyDescent="0.3">
      <c r="A33" s="63" t="s">
        <v>811</v>
      </c>
      <c r="B33" s="63" t="s">
        <v>823</v>
      </c>
      <c r="C33" s="63" t="s">
        <v>824</v>
      </c>
      <c r="D33" s="63" t="s">
        <v>825</v>
      </c>
      <c r="E33" s="63" t="s">
        <v>826</v>
      </c>
    </row>
    <row r="34" spans="1:5" ht="31.2" x14ac:dyDescent="0.3">
      <c r="A34" s="64">
        <v>2021</v>
      </c>
      <c r="B34" s="64" t="s">
        <v>827</v>
      </c>
      <c r="C34" s="64" t="s">
        <v>828</v>
      </c>
      <c r="D34" s="64" t="s">
        <v>829</v>
      </c>
      <c r="E34" s="64" t="s">
        <v>830</v>
      </c>
    </row>
    <row r="35" spans="1:5" ht="15.6" x14ac:dyDescent="0.3">
      <c r="A35" s="64">
        <v>2022</v>
      </c>
      <c r="B35" s="64" t="s">
        <v>827</v>
      </c>
      <c r="C35" s="64" t="s">
        <v>831</v>
      </c>
      <c r="D35" s="64" t="s">
        <v>831</v>
      </c>
      <c r="E35" s="64" t="s">
        <v>830</v>
      </c>
    </row>
    <row r="36" spans="1:5" ht="15.6" x14ac:dyDescent="0.3">
      <c r="A36" s="64">
        <v>2023</v>
      </c>
      <c r="B36" s="64" t="s">
        <v>827</v>
      </c>
      <c r="C36" s="64" t="s">
        <v>831</v>
      </c>
      <c r="D36" s="64" t="s">
        <v>831</v>
      </c>
      <c r="E36" s="64" t="s">
        <v>832</v>
      </c>
    </row>
    <row r="37" spans="1:5" ht="15.6" x14ac:dyDescent="0.3">
      <c r="A37" s="64">
        <v>2024</v>
      </c>
      <c r="B37" s="64" t="s">
        <v>833</v>
      </c>
      <c r="C37" s="64" t="s">
        <v>834</v>
      </c>
      <c r="D37" s="64" t="s">
        <v>835</v>
      </c>
      <c r="E37" s="64" t="s">
        <v>836</v>
      </c>
    </row>
    <row r="38" spans="1:5" ht="31.2" x14ac:dyDescent="0.3">
      <c r="A38" s="64">
        <v>2025</v>
      </c>
      <c r="B38" s="64" t="s">
        <v>837</v>
      </c>
      <c r="C38" s="64" t="s">
        <v>838</v>
      </c>
      <c r="D38" s="64" t="s">
        <v>839</v>
      </c>
      <c r="E38" s="64" t="s">
        <v>830</v>
      </c>
    </row>
    <row r="39" spans="1:5" ht="31.2" x14ac:dyDescent="0.3">
      <c r="A39" s="64" t="s">
        <v>813</v>
      </c>
      <c r="B39" s="64" t="s">
        <v>840</v>
      </c>
      <c r="C39" s="64" t="s">
        <v>841</v>
      </c>
      <c r="D39" s="64" t="s">
        <v>842</v>
      </c>
      <c r="E39" s="64" t="s">
        <v>843</v>
      </c>
    </row>
    <row r="40" spans="1:5" ht="31.2" x14ac:dyDescent="0.3">
      <c r="A40" s="64" t="s">
        <v>814</v>
      </c>
      <c r="B40" s="64" t="s">
        <v>844</v>
      </c>
      <c r="C40" s="64" t="s">
        <v>845</v>
      </c>
      <c r="D40" s="64" t="s">
        <v>830</v>
      </c>
      <c r="E40" s="64" t="s">
        <v>846</v>
      </c>
    </row>
    <row r="41" spans="1:5" ht="15.6" x14ac:dyDescent="0.3">
      <c r="A41" s="43"/>
      <c r="B41" s="43"/>
      <c r="C41" s="43"/>
      <c r="D41" s="43"/>
      <c r="E41" s="43"/>
    </row>
    <row r="42" spans="1:5" ht="15.6" x14ac:dyDescent="0.3">
      <c r="A42" s="35" t="s">
        <v>864</v>
      </c>
      <c r="B42" s="72"/>
      <c r="C42" s="72"/>
      <c r="D42" s="43"/>
      <c r="E42" s="43"/>
    </row>
    <row r="43" spans="1:5" ht="15.6" x14ac:dyDescent="0.3">
      <c r="A43" s="63" t="s">
        <v>811</v>
      </c>
      <c r="B43" s="63" t="s">
        <v>819</v>
      </c>
      <c r="C43" s="63" t="s">
        <v>820</v>
      </c>
      <c r="D43" s="43"/>
      <c r="E43" s="43"/>
    </row>
    <row r="44" spans="1:5" ht="15.6" x14ac:dyDescent="0.3">
      <c r="A44" s="64">
        <v>2022</v>
      </c>
      <c r="B44" s="66">
        <v>0.30399999999999999</v>
      </c>
      <c r="C44" s="66">
        <v>-0.25</v>
      </c>
      <c r="D44" s="43"/>
      <c r="E44" s="43"/>
    </row>
    <row r="45" spans="1:5" ht="15.6" x14ac:dyDescent="0.3">
      <c r="A45" s="64">
        <v>2023</v>
      </c>
      <c r="B45" s="66">
        <v>0.156</v>
      </c>
      <c r="C45" s="66">
        <v>6.2E-2</v>
      </c>
      <c r="D45" s="43"/>
      <c r="E45" s="43"/>
    </row>
    <row r="46" spans="1:5" ht="15.6" x14ac:dyDescent="0.3">
      <c r="A46" s="64">
        <v>2024</v>
      </c>
      <c r="B46" s="66">
        <v>-0.156</v>
      </c>
      <c r="C46" s="66">
        <v>-0.28699999999999998</v>
      </c>
      <c r="D46" s="43"/>
      <c r="E46" s="43"/>
    </row>
    <row r="47" spans="1:5" ht="15.6" x14ac:dyDescent="0.3">
      <c r="A47" s="64">
        <v>2025</v>
      </c>
      <c r="B47" s="66">
        <v>0.17699999999999999</v>
      </c>
      <c r="C47" s="66">
        <v>0.36</v>
      </c>
      <c r="D47" s="43"/>
      <c r="E47" s="43"/>
    </row>
    <row r="48" spans="1:5" ht="15.6" x14ac:dyDescent="0.3">
      <c r="A48" s="64" t="s">
        <v>813</v>
      </c>
      <c r="B48" s="66">
        <v>0.18099999999999999</v>
      </c>
      <c r="C48" s="64" t="s">
        <v>831</v>
      </c>
      <c r="D48" s="43"/>
      <c r="E48" s="43"/>
    </row>
    <row r="49" spans="1:5" ht="31.2" x14ac:dyDescent="0.3">
      <c r="A49" s="64" t="s">
        <v>814</v>
      </c>
      <c r="B49" s="66">
        <v>0.60199999999999998</v>
      </c>
      <c r="C49" s="64" t="s">
        <v>847</v>
      </c>
      <c r="D49" s="43"/>
      <c r="E49" s="43"/>
    </row>
    <row r="50" spans="1:5" ht="15.6" x14ac:dyDescent="0.3">
      <c r="A50" s="43"/>
      <c r="B50" s="43"/>
      <c r="C50" s="43"/>
      <c r="D50" s="43"/>
      <c r="E50" s="43"/>
    </row>
    <row r="51" spans="1:5" ht="15.6" x14ac:dyDescent="0.3">
      <c r="A51" s="71" t="s">
        <v>865</v>
      </c>
      <c r="B51" s="35"/>
      <c r="C51" s="43"/>
      <c r="D51" s="43"/>
      <c r="E51" s="43"/>
    </row>
    <row r="52" spans="1:5" ht="15.6" x14ac:dyDescent="0.3">
      <c r="A52" s="63" t="s">
        <v>848</v>
      </c>
      <c r="B52" s="63" t="s">
        <v>849</v>
      </c>
      <c r="C52" s="43"/>
      <c r="D52" s="43"/>
      <c r="E52" s="43"/>
    </row>
    <row r="53" spans="1:5" ht="31.2" x14ac:dyDescent="0.3">
      <c r="A53" s="64" t="s">
        <v>812</v>
      </c>
      <c r="B53" s="64" t="s">
        <v>850</v>
      </c>
      <c r="C53" s="43"/>
      <c r="D53" s="43"/>
      <c r="E53" s="43"/>
    </row>
    <row r="54" spans="1:5" ht="31.2" x14ac:dyDescent="0.3">
      <c r="A54" s="64" t="s">
        <v>851</v>
      </c>
      <c r="B54" s="64" t="s">
        <v>852</v>
      </c>
      <c r="C54" s="43"/>
      <c r="D54" s="43"/>
      <c r="E54" s="43"/>
    </row>
    <row r="55" spans="1:5" ht="31.2" x14ac:dyDescent="0.3">
      <c r="A55" s="64" t="s">
        <v>853</v>
      </c>
      <c r="B55" s="64" t="s">
        <v>854</v>
      </c>
      <c r="C55" s="43"/>
      <c r="D55" s="43"/>
      <c r="E55" s="43"/>
    </row>
    <row r="56" spans="1:5" ht="31.2" x14ac:dyDescent="0.3">
      <c r="A56" s="64" t="s">
        <v>855</v>
      </c>
      <c r="B56" s="64" t="s">
        <v>856</v>
      </c>
      <c r="C56" s="43"/>
      <c r="D56" s="43"/>
      <c r="E56" s="43"/>
    </row>
    <row r="57" spans="1:5" ht="15.6" x14ac:dyDescent="0.3">
      <c r="A57" s="64" t="s">
        <v>857</v>
      </c>
      <c r="B57" s="64" t="s">
        <v>858</v>
      </c>
      <c r="C57" s="43"/>
      <c r="D57" s="43"/>
      <c r="E57" s="43"/>
    </row>
    <row r="58" spans="1:5" ht="31.2" x14ac:dyDescent="0.3">
      <c r="A58" s="64" t="s">
        <v>859</v>
      </c>
      <c r="B58" s="64" t="s">
        <v>860</v>
      </c>
      <c r="C58" s="43"/>
      <c r="D58" s="43"/>
      <c r="E58" s="43"/>
    </row>
    <row r="59" spans="1:5" ht="15.6" x14ac:dyDescent="0.3">
      <c r="A59" s="8"/>
      <c r="B59" s="8"/>
      <c r="C59" s="8"/>
      <c r="D59" s="8"/>
      <c r="E59" s="8"/>
    </row>
    <row r="60" spans="1:5" ht="15.6" x14ac:dyDescent="0.3">
      <c r="A60" s="8"/>
      <c r="B60" s="8"/>
      <c r="C60" s="8"/>
      <c r="D60" s="8"/>
      <c r="E6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6CE58-8F4E-4D7A-8838-535989DDE861}">
  <dimension ref="A2:H12"/>
  <sheetViews>
    <sheetView workbookViewId="0">
      <selection activeCell="G9" sqref="G9"/>
    </sheetView>
  </sheetViews>
  <sheetFormatPr defaultRowHeight="14.4" x14ac:dyDescent="0.3"/>
  <cols>
    <col min="1" max="1" width="21" customWidth="1"/>
  </cols>
  <sheetData>
    <row r="2" spans="1:8" x14ac:dyDescent="0.3">
      <c r="A2" s="6" t="s">
        <v>874</v>
      </c>
      <c r="B2" s="5"/>
      <c r="C2" s="5"/>
      <c r="D2" s="5"/>
      <c r="E2" s="5"/>
      <c r="F2" s="5"/>
      <c r="G2" s="5"/>
      <c r="H2" s="5"/>
    </row>
    <row r="3" spans="1:8" x14ac:dyDescent="0.3">
      <c r="A3" s="68" t="s">
        <v>867</v>
      </c>
      <c r="B3" s="68">
        <v>2021</v>
      </c>
      <c r="C3" s="68">
        <v>2022</v>
      </c>
      <c r="D3" s="68">
        <v>2023</v>
      </c>
      <c r="E3" s="68">
        <v>2024</v>
      </c>
      <c r="F3" s="68">
        <v>2025</v>
      </c>
      <c r="G3" s="68" t="s">
        <v>813</v>
      </c>
      <c r="H3" s="68" t="s">
        <v>814</v>
      </c>
    </row>
    <row r="4" spans="1:8" x14ac:dyDescent="0.3">
      <c r="A4" s="60" t="s">
        <v>812</v>
      </c>
      <c r="B4" s="61">
        <v>22071</v>
      </c>
      <c r="C4" s="61">
        <v>28790</v>
      </c>
      <c r="D4" s="61">
        <v>33272</v>
      </c>
      <c r="E4" s="61">
        <v>28082</v>
      </c>
      <c r="F4" s="61">
        <v>33041</v>
      </c>
      <c r="G4" s="61">
        <v>39019</v>
      </c>
      <c r="H4" s="61">
        <v>62511</v>
      </c>
    </row>
    <row r="5" spans="1:8" x14ac:dyDescent="0.3">
      <c r="A5" s="60" t="s">
        <v>868</v>
      </c>
      <c r="B5" s="60" t="s">
        <v>869</v>
      </c>
      <c r="C5" s="62">
        <v>0.30399999999999999</v>
      </c>
      <c r="D5" s="62">
        <v>0.156</v>
      </c>
      <c r="E5" s="62">
        <v>-0.156</v>
      </c>
      <c r="F5" s="62">
        <v>0.17699999999999999</v>
      </c>
      <c r="G5" s="62">
        <v>0.18099999999999999</v>
      </c>
      <c r="H5" s="62">
        <v>0.60199999999999998</v>
      </c>
    </row>
    <row r="6" spans="1:8" x14ac:dyDescent="0.3">
      <c r="A6" s="60" t="s">
        <v>14</v>
      </c>
      <c r="B6" s="61">
        <v>15844</v>
      </c>
      <c r="C6" s="61">
        <v>15575</v>
      </c>
      <c r="D6" s="61">
        <v>16680</v>
      </c>
      <c r="E6" s="61">
        <v>12806</v>
      </c>
      <c r="F6" s="61">
        <v>16346</v>
      </c>
      <c r="G6" s="61">
        <v>19483</v>
      </c>
      <c r="H6" s="61">
        <v>31160</v>
      </c>
    </row>
    <row r="7" spans="1:8" x14ac:dyDescent="0.3">
      <c r="A7" s="60" t="s">
        <v>870</v>
      </c>
      <c r="B7" s="62">
        <v>0.71799999999999997</v>
      </c>
      <c r="C7" s="62">
        <v>0.54100000000000004</v>
      </c>
      <c r="D7" s="62">
        <v>0.501</v>
      </c>
      <c r="E7" s="62">
        <v>0.45600000000000002</v>
      </c>
      <c r="F7" s="62">
        <v>0.495</v>
      </c>
      <c r="G7" s="62">
        <v>0.499</v>
      </c>
      <c r="H7" s="62">
        <v>0.498</v>
      </c>
    </row>
    <row r="8" spans="1:8" x14ac:dyDescent="0.3">
      <c r="A8" s="60" t="s">
        <v>17</v>
      </c>
      <c r="B8" s="61">
        <v>15132</v>
      </c>
      <c r="C8" s="61">
        <v>13877</v>
      </c>
      <c r="D8" s="61">
        <v>14795</v>
      </c>
      <c r="E8" s="61">
        <v>10412</v>
      </c>
      <c r="F8" s="61">
        <v>13689</v>
      </c>
      <c r="G8" s="61">
        <v>-1041</v>
      </c>
      <c r="H8" s="61">
        <v>27705</v>
      </c>
    </row>
    <row r="9" spans="1:8" x14ac:dyDescent="0.3">
      <c r="A9" s="60" t="s">
        <v>871</v>
      </c>
      <c r="B9" s="62">
        <v>0.68600000000000005</v>
      </c>
      <c r="C9" s="62">
        <v>0.48199999999999998</v>
      </c>
      <c r="D9" s="62">
        <v>0.44500000000000001</v>
      </c>
      <c r="E9" s="62">
        <v>0.371</v>
      </c>
      <c r="F9" s="62">
        <v>0.41399999999999998</v>
      </c>
      <c r="G9" s="67" t="s">
        <v>873</v>
      </c>
      <c r="H9" s="62">
        <v>0.443</v>
      </c>
    </row>
    <row r="10" spans="1:8" x14ac:dyDescent="0.3">
      <c r="A10" s="60" t="s">
        <v>872</v>
      </c>
      <c r="B10" s="61">
        <v>12152</v>
      </c>
      <c r="C10" s="61">
        <v>9116</v>
      </c>
      <c r="D10" s="61">
        <v>9685</v>
      </c>
      <c r="E10" s="61">
        <v>6909</v>
      </c>
      <c r="F10" s="61">
        <v>9394</v>
      </c>
      <c r="G10" s="61">
        <v>-1507</v>
      </c>
      <c r="H10" s="61">
        <v>20591</v>
      </c>
    </row>
    <row r="11" spans="1:8" x14ac:dyDescent="0.3">
      <c r="A11" s="60" t="s">
        <v>817</v>
      </c>
      <c r="B11" s="62">
        <v>0.55100000000000005</v>
      </c>
      <c r="C11" s="62">
        <v>0.317</v>
      </c>
      <c r="D11" s="62">
        <v>0.29099999999999998</v>
      </c>
      <c r="E11" s="62">
        <v>0.246</v>
      </c>
      <c r="F11" s="62">
        <v>0.28399999999999997</v>
      </c>
      <c r="G11" s="60" t="s">
        <v>818</v>
      </c>
      <c r="H11" s="62">
        <v>0.32900000000000001</v>
      </c>
    </row>
    <row r="12" spans="1:8" x14ac:dyDescent="0.3">
      <c r="A12" s="5"/>
      <c r="B12" s="5"/>
      <c r="C12" s="5"/>
      <c r="D12" s="5"/>
      <c r="E12" s="5"/>
      <c r="F12" s="5"/>
      <c r="G12" s="5"/>
      <c r="H12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1329-5BD8-45BF-8795-7A244D2FF727}">
  <dimension ref="A2:T51"/>
  <sheetViews>
    <sheetView topLeftCell="A36" zoomScale="91" zoomScaleNormal="100" workbookViewId="0">
      <selection activeCell="J62" sqref="J62"/>
    </sheetView>
  </sheetViews>
  <sheetFormatPr defaultRowHeight="14.4" x14ac:dyDescent="0.3"/>
  <cols>
    <col min="1" max="1" width="33.109375" bestFit="1" customWidth="1"/>
    <col min="2" max="8" width="13.5546875" bestFit="1" customWidth="1"/>
  </cols>
  <sheetData>
    <row r="2" spans="1:20" ht="17.399999999999999" x14ac:dyDescent="0.3">
      <c r="A2" s="1" t="s">
        <v>0</v>
      </c>
      <c r="B2" s="2">
        <v>44286</v>
      </c>
      <c r="C2" s="2">
        <v>44651</v>
      </c>
      <c r="D2" s="2">
        <v>45016</v>
      </c>
      <c r="E2" s="2">
        <v>45382</v>
      </c>
      <c r="F2" s="2">
        <v>45747</v>
      </c>
      <c r="G2" s="2">
        <v>46112</v>
      </c>
      <c r="H2" s="2">
        <v>46477</v>
      </c>
    </row>
    <row r="3" spans="1:20" ht="17.399999999999999" x14ac:dyDescent="0.3">
      <c r="A3" s="1" t="s">
        <v>1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</row>
    <row r="4" spans="1:20" ht="17.399999999999999" x14ac:dyDescent="0.3">
      <c r="A4" s="1" t="s">
        <v>2</v>
      </c>
      <c r="B4" s="3" t="s">
        <v>4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203</v>
      </c>
      <c r="H4" s="3" t="s">
        <v>203</v>
      </c>
    </row>
    <row r="5" spans="1:20" ht="15.6" x14ac:dyDescent="0.3">
      <c r="G5" s="8"/>
      <c r="H5" s="8"/>
      <c r="I5" s="5"/>
    </row>
    <row r="6" spans="1:20" ht="15.6" x14ac:dyDescent="0.3">
      <c r="A6" s="4" t="s">
        <v>5</v>
      </c>
      <c r="B6" s="15">
        <v>22071</v>
      </c>
      <c r="C6" s="15">
        <v>28790</v>
      </c>
      <c r="D6" s="15">
        <v>33272</v>
      </c>
      <c r="E6" s="15">
        <v>28082</v>
      </c>
      <c r="F6" s="15">
        <v>33041</v>
      </c>
      <c r="G6" s="15">
        <f>'Revenue model'!G15</f>
        <v>3901.9</v>
      </c>
      <c r="H6" s="15">
        <f>'Revenue model'!H15</f>
        <v>62510.7166</v>
      </c>
      <c r="I6" s="5"/>
    </row>
    <row r="7" spans="1:20" ht="15.6" x14ac:dyDescent="0.3">
      <c r="A7" s="10" t="s">
        <v>6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5"/>
      <c r="K7" s="46" t="s">
        <v>247</v>
      </c>
      <c r="L7" s="46"/>
      <c r="M7" s="46"/>
      <c r="N7" s="46"/>
      <c r="O7" s="46"/>
      <c r="P7" s="46"/>
      <c r="Q7" s="46"/>
      <c r="R7" s="46"/>
      <c r="S7" s="46"/>
      <c r="T7" s="46"/>
    </row>
    <row r="8" spans="1:20" ht="15.6" x14ac:dyDescent="0.3">
      <c r="A8" s="39" t="s">
        <v>7</v>
      </c>
      <c r="B8" s="40">
        <f>B6-B7</f>
        <v>22071</v>
      </c>
      <c r="C8" s="40">
        <f t="shared" ref="C8:H8" si="0">C6-C7</f>
        <v>28790</v>
      </c>
      <c r="D8" s="40">
        <f t="shared" si="0"/>
        <v>33272</v>
      </c>
      <c r="E8" s="40">
        <f t="shared" si="0"/>
        <v>28082</v>
      </c>
      <c r="F8" s="40">
        <f t="shared" si="0"/>
        <v>33041</v>
      </c>
      <c r="G8" s="40">
        <f t="shared" si="0"/>
        <v>3901.9</v>
      </c>
      <c r="H8" s="40">
        <f t="shared" si="0"/>
        <v>62510.7166</v>
      </c>
      <c r="I8" s="5"/>
      <c r="K8" s="46" t="s">
        <v>248</v>
      </c>
      <c r="L8" s="46"/>
      <c r="M8" s="46"/>
      <c r="N8" s="46"/>
      <c r="O8" s="46"/>
      <c r="P8" s="46"/>
      <c r="Q8" s="46"/>
      <c r="R8" s="46"/>
      <c r="S8" s="46"/>
      <c r="T8" s="46"/>
    </row>
    <row r="9" spans="1:20" ht="18.600000000000001" customHeight="1" x14ac:dyDescent="0.3">
      <c r="B9" s="8"/>
      <c r="C9" s="8"/>
      <c r="D9" s="8"/>
      <c r="E9" s="8"/>
      <c r="F9" s="8"/>
      <c r="G9" s="8"/>
      <c r="H9" s="8"/>
      <c r="I9" s="5"/>
      <c r="K9" s="46" t="s">
        <v>249</v>
      </c>
      <c r="L9" s="46"/>
      <c r="M9" s="46"/>
      <c r="N9" s="46"/>
      <c r="O9" s="46"/>
      <c r="P9" s="46"/>
      <c r="Q9" s="46"/>
      <c r="R9" s="46"/>
      <c r="S9" s="46"/>
      <c r="T9" s="46"/>
    </row>
    <row r="10" spans="1:20" ht="15.6" x14ac:dyDescent="0.3">
      <c r="A10" s="6" t="s">
        <v>8</v>
      </c>
      <c r="B10" s="15">
        <f t="shared" ref="B10:H10" si="1">B11+B12+B13</f>
        <v>4730</v>
      </c>
      <c r="C10" s="15">
        <f t="shared" si="1"/>
        <v>5841</v>
      </c>
      <c r="D10" s="15">
        <f t="shared" si="1"/>
        <v>7636</v>
      </c>
      <c r="E10" s="15">
        <f t="shared" si="1"/>
        <v>6203</v>
      </c>
      <c r="F10" s="15">
        <f t="shared" si="1"/>
        <v>6741</v>
      </c>
      <c r="G10" s="15">
        <f t="shared" si="1"/>
        <v>836.25651319467954</v>
      </c>
      <c r="H10" s="15">
        <f t="shared" si="1"/>
        <v>13397.467293028249</v>
      </c>
      <c r="I10" s="5"/>
      <c r="K10" s="46" t="s">
        <v>250</v>
      </c>
      <c r="L10" s="46"/>
      <c r="M10" s="46"/>
      <c r="N10" s="46"/>
      <c r="O10" s="46"/>
      <c r="P10" s="46"/>
      <c r="Q10" s="46"/>
      <c r="R10" s="46"/>
      <c r="S10" s="46"/>
      <c r="T10" s="46"/>
    </row>
    <row r="11" spans="1:20" ht="15.6" x14ac:dyDescent="0.3">
      <c r="A11" s="5" t="s">
        <v>20</v>
      </c>
      <c r="B11" s="15">
        <v>1732</v>
      </c>
      <c r="C11" s="15">
        <v>2452</v>
      </c>
      <c r="D11" s="15">
        <v>3711</v>
      </c>
      <c r="E11" s="15">
        <v>2843</v>
      </c>
      <c r="F11" s="15">
        <v>2702</v>
      </c>
      <c r="G11" s="15">
        <f>G38</f>
        <v>357.56552397668287</v>
      </c>
      <c r="H11" s="15">
        <f>H38</f>
        <v>5892.9968119088398</v>
      </c>
      <c r="I11" s="5"/>
      <c r="K11" s="46" t="s">
        <v>251</v>
      </c>
      <c r="L11" s="46"/>
      <c r="M11" s="46"/>
      <c r="N11" s="46"/>
      <c r="O11" s="46"/>
      <c r="P11" s="46"/>
      <c r="Q11" s="46"/>
      <c r="R11" s="46"/>
      <c r="S11" s="46"/>
      <c r="T11" s="46"/>
    </row>
    <row r="12" spans="1:20" ht="15.6" x14ac:dyDescent="0.3">
      <c r="A12" s="5" t="s">
        <v>21</v>
      </c>
      <c r="B12" s="15">
        <v>2759</v>
      </c>
      <c r="C12" s="15">
        <v>3667</v>
      </c>
      <c r="D12" s="15">
        <v>4068</v>
      </c>
      <c r="E12" s="15">
        <v>3517</v>
      </c>
      <c r="F12" s="15">
        <v>4103</v>
      </c>
      <c r="G12" s="15">
        <f>G41</f>
        <v>487.00446069414511</v>
      </c>
      <c r="H12" s="15">
        <f>H41</f>
        <v>7799.6763073013253</v>
      </c>
      <c r="I12" s="5"/>
      <c r="K12" s="46" t="s">
        <v>252</v>
      </c>
      <c r="L12" s="46"/>
      <c r="M12" s="46"/>
      <c r="N12" s="46"/>
      <c r="O12" s="46"/>
      <c r="P12" s="46"/>
      <c r="Q12" s="46"/>
      <c r="R12" s="46"/>
      <c r="S12" s="46"/>
      <c r="T12" s="46"/>
    </row>
    <row r="13" spans="1:20" ht="15.6" x14ac:dyDescent="0.3">
      <c r="A13" s="5" t="s">
        <v>9</v>
      </c>
      <c r="B13" s="15">
        <v>239</v>
      </c>
      <c r="C13" s="15">
        <v>-278</v>
      </c>
      <c r="D13" s="15">
        <v>-143</v>
      </c>
      <c r="E13" s="15">
        <v>-157</v>
      </c>
      <c r="F13" s="15">
        <v>-64</v>
      </c>
      <c r="G13" s="15">
        <f>G44</f>
        <v>-8.3134714761485196</v>
      </c>
      <c r="H13" s="15">
        <f>H44</f>
        <v>-295.20582618191605</v>
      </c>
      <c r="I13" s="5"/>
    </row>
    <row r="14" spans="1:20" ht="15.6" x14ac:dyDescent="0.3">
      <c r="A14" s="39" t="s">
        <v>10</v>
      </c>
      <c r="B14" s="40">
        <f>B8-B1</f>
        <v>22071</v>
      </c>
      <c r="C14" s="40">
        <f>C8-C10</f>
        <v>22949</v>
      </c>
      <c r="D14" s="40">
        <f>D8-D10</f>
        <v>25636</v>
      </c>
      <c r="E14" s="40">
        <f>E8-E10</f>
        <v>21879</v>
      </c>
      <c r="F14" s="40">
        <f>F8-F10</f>
        <v>26300</v>
      </c>
      <c r="G14" s="40">
        <f t="shared" ref="G14:H14" si="2">G8-G10</f>
        <v>3065.6434868053207</v>
      </c>
      <c r="H14" s="40">
        <f t="shared" si="2"/>
        <v>49113.249306971753</v>
      </c>
      <c r="I14" s="5"/>
    </row>
    <row r="15" spans="1:20" ht="15.6" x14ac:dyDescent="0.3">
      <c r="A15" s="5"/>
      <c r="B15" s="8"/>
      <c r="C15" s="8"/>
      <c r="D15" s="8"/>
      <c r="E15" s="8"/>
      <c r="F15" s="8"/>
      <c r="G15" s="8"/>
      <c r="H15" s="8"/>
      <c r="I15" s="5"/>
    </row>
    <row r="16" spans="1:20" ht="15.6" x14ac:dyDescent="0.3">
      <c r="A16" s="6" t="s">
        <v>11</v>
      </c>
      <c r="B16" s="8"/>
      <c r="C16" s="8"/>
      <c r="D16" s="8"/>
      <c r="E16" s="8"/>
      <c r="F16" s="8"/>
      <c r="G16" s="8"/>
      <c r="H16" s="8"/>
      <c r="I16" s="5"/>
    </row>
    <row r="17" spans="1:9" ht="15.6" x14ac:dyDescent="0.3">
      <c r="A17" s="5" t="s">
        <v>13</v>
      </c>
      <c r="B17" s="15">
        <v>760</v>
      </c>
      <c r="C17" s="15">
        <v>718</v>
      </c>
      <c r="D17" s="15">
        <v>845</v>
      </c>
      <c r="E17" s="15">
        <v>828</v>
      </c>
      <c r="F17" s="15">
        <v>886</v>
      </c>
      <c r="G17" s="15">
        <f>G47</f>
        <v>110.08861163025385</v>
      </c>
      <c r="H17" s="15">
        <f>H47</f>
        <v>1685.9177427694713</v>
      </c>
      <c r="I17" s="5"/>
    </row>
    <row r="18" spans="1:9" ht="15.6" x14ac:dyDescent="0.3">
      <c r="A18" s="5" t="s">
        <v>12</v>
      </c>
      <c r="B18" s="15">
        <v>5467</v>
      </c>
      <c r="C18" s="15">
        <v>6656</v>
      </c>
      <c r="D18" s="15">
        <v>8111</v>
      </c>
      <c r="E18" s="15">
        <v>8245</v>
      </c>
      <c r="F18" s="15">
        <v>9068</v>
      </c>
      <c r="G18" s="15">
        <f>G50</f>
        <v>1007.2535442027603</v>
      </c>
      <c r="H18" s="15">
        <f>H50</f>
        <v>16267.359548922208</v>
      </c>
      <c r="I18" s="5"/>
    </row>
    <row r="19" spans="1:9" ht="15.6" x14ac:dyDescent="0.3">
      <c r="A19" s="39" t="s">
        <v>14</v>
      </c>
      <c r="B19" s="40">
        <f>B14-B17-B18</f>
        <v>15844</v>
      </c>
      <c r="C19" s="40">
        <f t="shared" ref="C19:H19" si="3">C14-C17-C18</f>
        <v>15575</v>
      </c>
      <c r="D19" s="40">
        <f t="shared" si="3"/>
        <v>16680</v>
      </c>
      <c r="E19" s="40">
        <f t="shared" si="3"/>
        <v>12806</v>
      </c>
      <c r="F19" s="40">
        <f t="shared" si="3"/>
        <v>16346</v>
      </c>
      <c r="G19" s="40">
        <f t="shared" si="3"/>
        <v>1948.3013309723065</v>
      </c>
      <c r="H19" s="40">
        <f t="shared" si="3"/>
        <v>31159.972015280073</v>
      </c>
      <c r="I19" s="5"/>
    </row>
    <row r="20" spans="1:9" ht="15.6" x14ac:dyDescent="0.3">
      <c r="A20" s="5"/>
      <c r="B20" s="8"/>
      <c r="C20" s="8"/>
      <c r="D20" s="8"/>
      <c r="E20" s="8"/>
      <c r="F20" s="8"/>
      <c r="G20" s="8"/>
      <c r="H20" s="8"/>
      <c r="I20" s="5"/>
    </row>
    <row r="21" spans="1:9" ht="15.6" x14ac:dyDescent="0.3">
      <c r="A21" s="5" t="s">
        <v>16</v>
      </c>
      <c r="B21" s="15">
        <v>1819</v>
      </c>
      <c r="C21" s="15">
        <v>1216</v>
      </c>
      <c r="D21" s="15">
        <v>1379</v>
      </c>
      <c r="E21" s="15">
        <v>1074</v>
      </c>
      <c r="F21" s="15">
        <v>983</v>
      </c>
      <c r="G21" s="15">
        <f>G22*('Balance sheet'!G12+'Balance sheet'!G24)</f>
        <v>1114.7611029604111</v>
      </c>
      <c r="H21" s="15">
        <f>H22*('Balance sheet'!H12+'Balance sheet'!H24)</f>
        <v>1057.7246224642786</v>
      </c>
      <c r="I21" s="5" t="s">
        <v>207</v>
      </c>
    </row>
    <row r="22" spans="1:9" ht="15.6" x14ac:dyDescent="0.3">
      <c r="A22" s="16" t="s">
        <v>243</v>
      </c>
      <c r="B22" s="12">
        <f>B21/('Balance sheet'!B12+'Balance sheet'!B24)</f>
        <v>0.14038743536312417</v>
      </c>
      <c r="C22" s="12">
        <f>C21/('Balance sheet'!C12+'Balance sheet'!C24)</f>
        <v>8.0786606431039062E-2</v>
      </c>
      <c r="D22" s="12">
        <f>D21/('Balance sheet'!D12+'Balance sheet'!D24)</f>
        <v>0.13644009102602156</v>
      </c>
      <c r="E22" s="12">
        <f>E21/('Balance sheet'!E12+'Balance sheet'!E24)</f>
        <v>0.10275545350172216</v>
      </c>
      <c r="F22" s="12">
        <f>F21/('Balance sheet'!F12+'Balance sheet'!F24)</f>
        <v>9.8576012835940641E-2</v>
      </c>
      <c r="G22" s="26">
        <f>AVERAGE(B22:F22)</f>
        <v>0.11178911983156951</v>
      </c>
      <c r="H22" s="26">
        <f>AVERAGE(C22:G22)</f>
        <v>0.10606945672525858</v>
      </c>
      <c r="I22" s="5"/>
    </row>
    <row r="23" spans="1:9" ht="15.6" x14ac:dyDescent="0.3">
      <c r="A23" s="5" t="s">
        <v>15</v>
      </c>
      <c r="B23" s="15">
        <v>2531</v>
      </c>
      <c r="C23" s="15">
        <v>2914</v>
      </c>
      <c r="D23" s="15">
        <v>3264</v>
      </c>
      <c r="E23" s="15">
        <v>3468</v>
      </c>
      <c r="F23" s="15">
        <v>3640</v>
      </c>
      <c r="G23" s="15">
        <f>G24*'Capex model'!G6</f>
        <v>4103.6176555358052</v>
      </c>
      <c r="H23" s="15">
        <f>H24*'Capex model'!H6</f>
        <v>4512.874347978578</v>
      </c>
      <c r="I23" s="5" t="s">
        <v>208</v>
      </c>
    </row>
    <row r="24" spans="1:9" ht="15.6" x14ac:dyDescent="0.3">
      <c r="A24" s="16" t="s">
        <v>242</v>
      </c>
      <c r="B24" s="12">
        <f>B23/'Capex model'!B6</f>
        <v>7.9473733789681922E-2</v>
      </c>
      <c r="C24" s="12">
        <f>C23/'Capex model'!C6</f>
        <v>8.316922110911322E-2</v>
      </c>
      <c r="D24" s="12">
        <f>D23/'Capex model'!D6</f>
        <v>8.5865361849893462E-2</v>
      </c>
      <c r="E24" s="12">
        <f>E23/'Capex model'!E6</f>
        <v>8.3141542002301491E-2</v>
      </c>
      <c r="F24" s="12">
        <f>F23/'Capex model'!F6</f>
        <v>7.9850828123286172E-2</v>
      </c>
      <c r="G24" s="26">
        <f>AVERAGE(B24:F24)</f>
        <v>8.2300137374855267E-2</v>
      </c>
      <c r="H24" s="26">
        <f>AVERAGE(C24:G24)</f>
        <v>8.2865418091889936E-2</v>
      </c>
      <c r="I24" s="5"/>
    </row>
    <row r="25" spans="1:9" ht="15.6" x14ac:dyDescent="0.3">
      <c r="A25" s="39" t="s">
        <v>17</v>
      </c>
      <c r="B25" s="40">
        <f>B19+B21-B23</f>
        <v>15132</v>
      </c>
      <c r="C25" s="40">
        <f t="shared" ref="C25:H25" si="4">C19+C21-C23</f>
        <v>13877</v>
      </c>
      <c r="D25" s="40">
        <f t="shared" si="4"/>
        <v>14795</v>
      </c>
      <c r="E25" s="40">
        <f t="shared" si="4"/>
        <v>10412</v>
      </c>
      <c r="F25" s="40">
        <f t="shared" si="4"/>
        <v>13689</v>
      </c>
      <c r="G25" s="40">
        <f>G19+G21-G23</f>
        <v>-1040.5552216030874</v>
      </c>
      <c r="H25" s="40">
        <f t="shared" si="4"/>
        <v>27704.822289765776</v>
      </c>
      <c r="I25" s="5"/>
    </row>
    <row r="26" spans="1:9" ht="15.6" x14ac:dyDescent="0.3">
      <c r="A26" s="5"/>
      <c r="B26" s="15"/>
      <c r="C26" s="15"/>
      <c r="D26" s="15"/>
      <c r="E26" s="15"/>
      <c r="F26" s="15"/>
      <c r="G26" s="8"/>
      <c r="H26" s="8"/>
      <c r="I26" s="5"/>
    </row>
    <row r="27" spans="1:9" ht="15.6" x14ac:dyDescent="0.3">
      <c r="A27" s="5" t="s">
        <v>18</v>
      </c>
      <c r="B27" s="15">
        <v>386</v>
      </c>
      <c r="C27" s="15">
        <v>290</v>
      </c>
      <c r="D27" s="15">
        <v>333</v>
      </c>
      <c r="E27" s="15">
        <v>955</v>
      </c>
      <c r="F27" s="15">
        <v>1095</v>
      </c>
      <c r="G27" s="15">
        <f>G28*('Balance sheet'!G45+'Balance sheet'!G46+'Balance sheet'!G55+'Balance sheet'!G56)</f>
        <v>875.09541389271078</v>
      </c>
      <c r="H27" s="15">
        <f>H28*('Balance sheet'!H45+'Balance sheet'!H46+'Balance sheet'!H55+'Balance sheet'!H56)</f>
        <v>919.31696847721605</v>
      </c>
      <c r="I27" s="5" t="s">
        <v>209</v>
      </c>
    </row>
    <row r="28" spans="1:9" ht="15.6" x14ac:dyDescent="0.3">
      <c r="A28" s="16" t="s">
        <v>241</v>
      </c>
      <c r="B28" s="12">
        <f>B27/('Balance sheet'!B45+'Balance sheet'!B46+'Balance sheet'!B55+'Balance sheet'!B56)</f>
        <v>5.9632318862969255E-2</v>
      </c>
      <c r="C28" s="12">
        <f>C27/('Balance sheet'!C45+'Balance sheet'!C46+'Balance sheet'!C55+'Balance sheet'!C56)</f>
        <v>0.1019690576652602</v>
      </c>
      <c r="D28" s="12">
        <f>D27/('Balance sheet'!D45+'Balance sheet'!D46+'Balance sheet'!D55+'Balance sheet'!D56)</f>
        <v>2.802794377577645E-2</v>
      </c>
      <c r="E28" s="12">
        <f>E27/('Balance sheet'!E45+'Balance sheet'!E46+'Balance sheet'!E55+'Balance sheet'!E56)</f>
        <v>0.10949323549644577</v>
      </c>
      <c r="F28" s="12">
        <f>F27/('Balance sheet'!F45+'Balance sheet'!F46+'Balance sheet'!F55+'Balance sheet'!F56)</f>
        <v>9.9844989513996535E-2</v>
      </c>
      <c r="G28" s="26">
        <f>AVERAGE(B28:F28)</f>
        <v>7.979350906288965E-2</v>
      </c>
      <c r="H28" s="26">
        <f>AVERAGE(C28:G28)</f>
        <v>8.3825747102873716E-2</v>
      </c>
      <c r="I28" s="5"/>
    </row>
    <row r="29" spans="1:9" ht="15.6" x14ac:dyDescent="0.3">
      <c r="A29" s="39" t="s">
        <v>19</v>
      </c>
      <c r="B29" s="40">
        <f>B25-B27</f>
        <v>14746</v>
      </c>
      <c r="C29" s="40">
        <f t="shared" ref="C29:H29" si="5">C25-C27</f>
        <v>13587</v>
      </c>
      <c r="D29" s="40">
        <f t="shared" si="5"/>
        <v>14462</v>
      </c>
      <c r="E29" s="40">
        <f t="shared" si="5"/>
        <v>9457</v>
      </c>
      <c r="F29" s="40">
        <f t="shared" si="5"/>
        <v>12594</v>
      </c>
      <c r="G29" s="40">
        <f t="shared" si="5"/>
        <v>-1915.6506354957983</v>
      </c>
      <c r="H29" s="40">
        <f t="shared" si="5"/>
        <v>26785.505321288561</v>
      </c>
      <c r="I29" s="5"/>
    </row>
    <row r="30" spans="1:9" ht="15.6" x14ac:dyDescent="0.3">
      <c r="A30" s="5"/>
      <c r="B30" s="15"/>
      <c r="C30" s="15"/>
      <c r="D30" s="15"/>
      <c r="E30" s="15"/>
      <c r="F30" s="15"/>
      <c r="G30" s="8"/>
      <c r="H30" s="8"/>
      <c r="I30" s="5"/>
    </row>
    <row r="31" spans="1:9" ht="15.6" x14ac:dyDescent="0.3">
      <c r="A31" s="5" t="s">
        <v>22</v>
      </c>
      <c r="B31" s="15">
        <v>1827</v>
      </c>
      <c r="C31" s="15">
        <v>2445</v>
      </c>
      <c r="D31" s="15">
        <v>3431</v>
      </c>
      <c r="E31" s="15">
        <v>2549</v>
      </c>
      <c r="F31" s="15">
        <v>3226</v>
      </c>
      <c r="G31" s="15">
        <f>G32*G29</f>
        <v>-408.71608433295648</v>
      </c>
      <c r="H31" s="15">
        <f>H32*H29</f>
        <v>6194.0926352265005</v>
      </c>
      <c r="I31" s="5"/>
    </row>
    <row r="32" spans="1:9" ht="15.6" x14ac:dyDescent="0.3">
      <c r="A32" s="16" t="s">
        <v>210</v>
      </c>
      <c r="B32" s="12">
        <f>B31/B29</f>
        <v>0.12389800623898006</v>
      </c>
      <c r="C32" s="12">
        <f t="shared" ref="C32:F32" si="6">C31/C29</f>
        <v>0.17995142415544271</v>
      </c>
      <c r="D32" s="12">
        <f t="shared" si="6"/>
        <v>0.23724242843313512</v>
      </c>
      <c r="E32" s="12">
        <f t="shared" si="6"/>
        <v>0.26953579359204821</v>
      </c>
      <c r="F32" s="12">
        <f t="shared" si="6"/>
        <v>0.25615372399555342</v>
      </c>
      <c r="G32" s="12">
        <f>AVERAGE(B32:F32)</f>
        <v>0.21335627528303189</v>
      </c>
      <c r="H32" s="12">
        <f>AVERAGE(C32:G32)</f>
        <v>0.23124792909184225</v>
      </c>
      <c r="I32" s="5"/>
    </row>
    <row r="33" spans="1:9" ht="15.6" x14ac:dyDescent="0.3">
      <c r="A33" s="5" t="s">
        <v>23</v>
      </c>
      <c r="B33" s="15">
        <v>767</v>
      </c>
      <c r="C33" s="15">
        <v>2026</v>
      </c>
      <c r="D33" s="15">
        <v>1346</v>
      </c>
      <c r="E33" s="15">
        <v>-1</v>
      </c>
      <c r="F33" s="15">
        <v>-26</v>
      </c>
      <c r="G33" s="15">
        <v>0</v>
      </c>
      <c r="H33" s="15">
        <v>0</v>
      </c>
      <c r="I33" s="5" t="s">
        <v>211</v>
      </c>
    </row>
    <row r="34" spans="1:9" ht="15.6" x14ac:dyDescent="0.3">
      <c r="A34" s="39" t="s">
        <v>24</v>
      </c>
      <c r="B34" s="40">
        <f>B29-B31-B33</f>
        <v>12152</v>
      </c>
      <c r="C34" s="40">
        <f t="shared" ref="C34:H34" si="7">C29-C31-C33</f>
        <v>9116</v>
      </c>
      <c r="D34" s="40">
        <f t="shared" si="7"/>
        <v>9685</v>
      </c>
      <c r="E34" s="40">
        <f t="shared" si="7"/>
        <v>6909</v>
      </c>
      <c r="F34" s="40">
        <f t="shared" si="7"/>
        <v>9394</v>
      </c>
      <c r="G34" s="40">
        <f>G29-G31-G33</f>
        <v>-1506.9345511628417</v>
      </c>
      <c r="H34" s="40">
        <f t="shared" si="7"/>
        <v>20591.41268606206</v>
      </c>
      <c r="I34" s="5"/>
    </row>
    <row r="35" spans="1:9" ht="15.6" x14ac:dyDescent="0.3">
      <c r="A35" s="5"/>
      <c r="B35" s="8"/>
      <c r="C35" s="8"/>
      <c r="D35" s="8"/>
      <c r="E35" s="8"/>
      <c r="F35" s="8"/>
    </row>
    <row r="36" spans="1:9" ht="17.399999999999999" x14ac:dyDescent="0.3">
      <c r="A36" s="1" t="s">
        <v>204</v>
      </c>
      <c r="B36" s="3"/>
      <c r="C36" s="3"/>
      <c r="D36" s="3"/>
      <c r="E36" s="3"/>
      <c r="F36" s="3"/>
      <c r="G36" s="3"/>
      <c r="H36" s="3"/>
    </row>
    <row r="37" spans="1:9" ht="15.6" x14ac:dyDescent="0.3">
      <c r="A37" s="8"/>
      <c r="B37" s="8"/>
      <c r="C37" s="8"/>
      <c r="D37" s="8"/>
      <c r="E37" s="8"/>
      <c r="F37" s="8"/>
      <c r="G37" s="8"/>
      <c r="H37" s="8"/>
    </row>
    <row r="38" spans="1:9" ht="15.6" x14ac:dyDescent="0.3">
      <c r="A38" s="8" t="str">
        <f t="shared" ref="A38:F38" si="8">A11</f>
        <v>Power and fuel</v>
      </c>
      <c r="B38" s="15">
        <f t="shared" si="8"/>
        <v>1732</v>
      </c>
      <c r="C38" s="15">
        <f t="shared" si="8"/>
        <v>2452</v>
      </c>
      <c r="D38" s="15">
        <f t="shared" si="8"/>
        <v>3711</v>
      </c>
      <c r="E38" s="15">
        <f t="shared" si="8"/>
        <v>2843</v>
      </c>
      <c r="F38" s="15">
        <f t="shared" si="8"/>
        <v>2702</v>
      </c>
      <c r="G38" s="15">
        <f>G39*G8</f>
        <v>357.56552397668287</v>
      </c>
      <c r="H38" s="15">
        <f>H39*H8</f>
        <v>5892.9968119088398</v>
      </c>
    </row>
    <row r="39" spans="1:9" ht="15.6" x14ac:dyDescent="0.3">
      <c r="A39" s="27" t="s">
        <v>205</v>
      </c>
      <c r="B39" s="12">
        <f>B38/B8</f>
        <v>7.8474015676679804E-2</v>
      </c>
      <c r="C39" s="12">
        <f>C38/C8</f>
        <v>8.5168461271274754E-2</v>
      </c>
      <c r="D39" s="12">
        <f>D38/D8</f>
        <v>0.11153522481365713</v>
      </c>
      <c r="E39" s="12">
        <f>E38/E8</f>
        <v>0.10123922797521544</v>
      </c>
      <c r="F39" s="12">
        <f>F38/F8</f>
        <v>8.1777185920522993E-2</v>
      </c>
      <c r="G39" s="12">
        <f>AVERAGE(B39:F39)</f>
        <v>9.1638823131470024E-2</v>
      </c>
      <c r="H39" s="12">
        <f>AVERAGE(C39:G39)</f>
        <v>9.4271784622428079E-2</v>
      </c>
    </row>
    <row r="40" spans="1:9" ht="15.6" x14ac:dyDescent="0.3">
      <c r="A40" s="8"/>
      <c r="B40" s="8"/>
      <c r="C40" s="8"/>
      <c r="D40" s="8"/>
      <c r="E40" s="8"/>
      <c r="F40" s="8"/>
      <c r="G40" s="8"/>
      <c r="H40" s="8"/>
    </row>
    <row r="41" spans="1:9" ht="15.6" x14ac:dyDescent="0.3">
      <c r="A41" s="8" t="str">
        <f t="shared" ref="A41:F41" si="9">A12</f>
        <v>Mining Royalty</v>
      </c>
      <c r="B41" s="15">
        <f t="shared" si="9"/>
        <v>2759</v>
      </c>
      <c r="C41" s="15">
        <f t="shared" si="9"/>
        <v>3667</v>
      </c>
      <c r="D41" s="15">
        <f t="shared" si="9"/>
        <v>4068</v>
      </c>
      <c r="E41" s="15">
        <f t="shared" si="9"/>
        <v>3517</v>
      </c>
      <c r="F41" s="15">
        <f t="shared" si="9"/>
        <v>4103</v>
      </c>
      <c r="G41" s="15">
        <f>G42*G8</f>
        <v>487.00446069414511</v>
      </c>
      <c r="H41" s="15">
        <f>H42*H8</f>
        <v>7799.6763073013253</v>
      </c>
    </row>
    <row r="42" spans="1:9" ht="15.6" x14ac:dyDescent="0.3">
      <c r="A42" s="27" t="s">
        <v>206</v>
      </c>
      <c r="B42" s="28">
        <f>B41/B8</f>
        <v>0.12500566354039236</v>
      </c>
      <c r="C42" s="28">
        <f t="shared" ref="C42:F42" si="10">C41/C8</f>
        <v>0.12737061479680445</v>
      </c>
      <c r="D42" s="28">
        <f t="shared" si="10"/>
        <v>0.12226496754027411</v>
      </c>
      <c r="E42" s="28">
        <f t="shared" si="10"/>
        <v>0.12524036749519266</v>
      </c>
      <c r="F42" s="28">
        <f t="shared" si="10"/>
        <v>0.12417905027087559</v>
      </c>
      <c r="G42" s="29">
        <f>AVERAGE(B42:F42)</f>
        <v>0.12481213272870784</v>
      </c>
      <c r="H42" s="29">
        <f>AVERAGE(C42:G42)</f>
        <v>0.12477342656637094</v>
      </c>
    </row>
    <row r="43" spans="1:9" ht="15.6" x14ac:dyDescent="0.3">
      <c r="A43" s="8"/>
      <c r="B43" s="8"/>
      <c r="C43" s="8"/>
      <c r="D43" s="8"/>
      <c r="E43" s="8"/>
      <c r="F43" s="8"/>
      <c r="G43" s="8"/>
      <c r="H43" s="8"/>
    </row>
    <row r="44" spans="1:9" ht="15.6" x14ac:dyDescent="0.3">
      <c r="A44" s="8" t="str">
        <f t="shared" ref="A44:F44" si="11">A13</f>
        <v>Changes in inventories of finished goods</v>
      </c>
      <c r="B44" s="15">
        <f t="shared" si="11"/>
        <v>239</v>
      </c>
      <c r="C44" s="15">
        <f t="shared" si="11"/>
        <v>-278</v>
      </c>
      <c r="D44" s="15">
        <f t="shared" si="11"/>
        <v>-143</v>
      </c>
      <c r="E44" s="15">
        <f t="shared" si="11"/>
        <v>-157</v>
      </c>
      <c r="F44" s="15">
        <f t="shared" si="11"/>
        <v>-64</v>
      </c>
      <c r="G44" s="15">
        <f>G45*G8</f>
        <v>-8.3134714761485196</v>
      </c>
      <c r="H44" s="15">
        <f>H45*H8</f>
        <v>-295.20582618191605</v>
      </c>
    </row>
    <row r="45" spans="1:9" ht="15.6" x14ac:dyDescent="0.3">
      <c r="A45" s="8" t="s">
        <v>244</v>
      </c>
      <c r="B45" s="15">
        <f>B44/B8</f>
        <v>1.082868923021159E-2</v>
      </c>
      <c r="C45" s="15">
        <f t="shared" ref="C45:F45" si="12">C44/C8</f>
        <v>-9.6561306009030918E-3</v>
      </c>
      <c r="D45" s="15">
        <f t="shared" si="12"/>
        <v>-4.2979081509978362E-3</v>
      </c>
      <c r="E45" s="15">
        <f t="shared" si="12"/>
        <v>-5.590769888184602E-3</v>
      </c>
      <c r="F45" s="15">
        <f t="shared" si="12"/>
        <v>-1.9369873793166066E-3</v>
      </c>
      <c r="G45" s="15">
        <f>AVERAGE(B45:F45)</f>
        <v>-2.1306213578381095E-3</v>
      </c>
      <c r="H45" s="15">
        <f>AVERAGE(C45:G45)</f>
        <v>-4.7224834754480494E-3</v>
      </c>
    </row>
    <row r="46" spans="1:9" ht="15.6" x14ac:dyDescent="0.3">
      <c r="A46" s="8"/>
      <c r="B46" s="15"/>
      <c r="C46" s="15"/>
      <c r="D46" s="15"/>
      <c r="E46" s="15"/>
      <c r="F46" s="15"/>
      <c r="G46" s="8"/>
      <c r="H46" s="8"/>
    </row>
    <row r="47" spans="1:9" ht="15.6" x14ac:dyDescent="0.3">
      <c r="A47" s="8" t="str">
        <f t="shared" ref="A47:F47" si="13">A17</f>
        <v>Employee benefits expense</v>
      </c>
      <c r="B47" s="15">
        <f t="shared" si="13"/>
        <v>760</v>
      </c>
      <c r="C47" s="15">
        <f t="shared" si="13"/>
        <v>718</v>
      </c>
      <c r="D47" s="15">
        <f t="shared" si="13"/>
        <v>845</v>
      </c>
      <c r="E47" s="15">
        <f t="shared" si="13"/>
        <v>828</v>
      </c>
      <c r="F47" s="15">
        <f t="shared" si="13"/>
        <v>886</v>
      </c>
      <c r="G47" s="15">
        <f>G48*G8</f>
        <v>110.08861163025385</v>
      </c>
      <c r="H47" s="15">
        <f>H48*H8</f>
        <v>1685.9177427694713</v>
      </c>
    </row>
    <row r="48" spans="1:9" ht="15.6" x14ac:dyDescent="0.3">
      <c r="A48" s="8" t="s">
        <v>244</v>
      </c>
      <c r="B48" s="15">
        <f>B47/B8</f>
        <v>3.4434325585610076E-2</v>
      </c>
      <c r="C48" s="15">
        <f t="shared" ref="C48:F48" si="14">C47/C8</f>
        <v>2.4939215005210142E-2</v>
      </c>
      <c r="D48" s="15">
        <f t="shared" si="14"/>
        <v>2.5396729983169032E-2</v>
      </c>
      <c r="E48" s="15">
        <f t="shared" si="14"/>
        <v>2.9485079410298411E-2</v>
      </c>
      <c r="F48" s="15">
        <f t="shared" si="14"/>
        <v>2.6815169032414272E-2</v>
      </c>
      <c r="G48" s="15">
        <f>AVERAGE(B48:F48)</f>
        <v>2.8214103803340385E-2</v>
      </c>
      <c r="H48" s="15">
        <f>AVERAGE(C48:G48)</f>
        <v>2.6970059446886446E-2</v>
      </c>
    </row>
    <row r="49" spans="1:8" ht="15.6" x14ac:dyDescent="0.3">
      <c r="A49" s="8"/>
      <c r="B49" s="15"/>
      <c r="C49" s="15"/>
      <c r="D49" s="15"/>
      <c r="E49" s="15"/>
      <c r="F49" s="15"/>
      <c r="G49" s="8"/>
      <c r="H49" s="8"/>
    </row>
    <row r="50" spans="1:8" ht="15.6" x14ac:dyDescent="0.3">
      <c r="A50" s="8" t="str">
        <f t="shared" ref="A50:F50" si="15">A18</f>
        <v>Other expenses</v>
      </c>
      <c r="B50" s="15">
        <f t="shared" si="15"/>
        <v>5467</v>
      </c>
      <c r="C50" s="15">
        <f t="shared" si="15"/>
        <v>6656</v>
      </c>
      <c r="D50" s="15">
        <f t="shared" si="15"/>
        <v>8111</v>
      </c>
      <c r="E50" s="15">
        <f t="shared" si="15"/>
        <v>8245</v>
      </c>
      <c r="F50" s="15">
        <f t="shared" si="15"/>
        <v>9068</v>
      </c>
      <c r="G50" s="15">
        <f>G51*G8</f>
        <v>1007.2535442027603</v>
      </c>
      <c r="H50" s="15">
        <f>H51*H8</f>
        <v>16267.359548922208</v>
      </c>
    </row>
    <row r="51" spans="1:8" ht="15.6" x14ac:dyDescent="0.3">
      <c r="A51" s="27" t="s">
        <v>205</v>
      </c>
      <c r="B51" s="12">
        <f>B50/B8</f>
        <v>0.24770060260069776</v>
      </c>
      <c r="C51" s="12">
        <f t="shared" ref="C51:F51" si="16">C50/C8</f>
        <v>0.23119138589788121</v>
      </c>
      <c r="D51" s="12">
        <f t="shared" si="16"/>
        <v>0.24377855253666747</v>
      </c>
      <c r="E51" s="12">
        <f t="shared" si="16"/>
        <v>0.29360444412791109</v>
      </c>
      <c r="F51" s="12">
        <f t="shared" si="16"/>
        <v>0.27444689930692168</v>
      </c>
      <c r="G51" s="26">
        <f>AVERAGE(B51:F51)</f>
        <v>0.25814437689401581</v>
      </c>
      <c r="H51" s="26">
        <f>AVERAGE(C51:G51)</f>
        <v>0.26023313175267948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343F-1407-4D07-8633-D7794D9BD4F6}">
  <dimension ref="A2:S76"/>
  <sheetViews>
    <sheetView topLeftCell="A57" zoomScale="85" zoomScaleNormal="85" workbookViewId="0">
      <selection activeCell="A86" sqref="A86"/>
    </sheetView>
  </sheetViews>
  <sheetFormatPr defaultRowHeight="14.4" x14ac:dyDescent="0.3"/>
  <cols>
    <col min="1" max="1" width="53.44140625" bestFit="1" customWidth="1"/>
    <col min="2" max="8" width="13.5546875" bestFit="1" customWidth="1"/>
    <col min="11" max="11" width="15.6640625" customWidth="1"/>
    <col min="12" max="12" width="16.88671875" customWidth="1"/>
  </cols>
  <sheetData>
    <row r="2" spans="1:16" ht="17.399999999999999" x14ac:dyDescent="0.3">
      <c r="A2" s="1" t="s">
        <v>0</v>
      </c>
      <c r="B2" s="2">
        <v>44286</v>
      </c>
      <c r="C2" s="2">
        <v>44651</v>
      </c>
      <c r="D2" s="2">
        <v>45016</v>
      </c>
      <c r="E2" s="2">
        <v>45382</v>
      </c>
      <c r="F2" s="2">
        <v>45747</v>
      </c>
      <c r="G2" s="2">
        <v>46112</v>
      </c>
      <c r="H2" s="2">
        <v>46477</v>
      </c>
    </row>
    <row r="3" spans="1:16" ht="17.399999999999999" x14ac:dyDescent="0.3">
      <c r="A3" s="1" t="s">
        <v>25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</row>
    <row r="4" spans="1:16" ht="17.399999999999999" x14ac:dyDescent="0.3">
      <c r="A4" s="1" t="s">
        <v>2</v>
      </c>
      <c r="B4" s="3" t="s">
        <v>4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203</v>
      </c>
      <c r="H4" s="3" t="s">
        <v>203</v>
      </c>
    </row>
    <row r="5" spans="1:16" x14ac:dyDescent="0.3">
      <c r="A5" s="5"/>
      <c r="B5" s="5"/>
      <c r="C5" s="5"/>
      <c r="D5" s="5"/>
      <c r="E5" s="5"/>
      <c r="F5" s="5"/>
    </row>
    <row r="6" spans="1:16" x14ac:dyDescent="0.3">
      <c r="A6" s="6" t="s">
        <v>26</v>
      </c>
      <c r="B6" s="5"/>
      <c r="C6" s="5"/>
      <c r="D6" s="5"/>
      <c r="E6" s="5"/>
      <c r="F6" s="5"/>
    </row>
    <row r="7" spans="1:16" ht="15.6" x14ac:dyDescent="0.3">
      <c r="A7" s="6" t="s">
        <v>27</v>
      </c>
      <c r="B7" s="8"/>
      <c r="C7" s="8"/>
      <c r="D7" s="8"/>
      <c r="E7" s="8"/>
      <c r="F7" s="8"/>
      <c r="G7" s="8"/>
      <c r="H7" s="8"/>
      <c r="I7" s="8"/>
      <c r="J7" s="8"/>
      <c r="K7" s="23" t="s">
        <v>218</v>
      </c>
      <c r="L7" s="23"/>
      <c r="M7" s="23" t="s">
        <v>230</v>
      </c>
      <c r="N7" s="23"/>
      <c r="O7" s="23"/>
      <c r="P7" s="23"/>
    </row>
    <row r="8" spans="1:16" ht="15.6" x14ac:dyDescent="0.3">
      <c r="A8" s="5" t="s">
        <v>28</v>
      </c>
      <c r="B8" s="15">
        <v>16447</v>
      </c>
      <c r="C8" s="15">
        <v>17165</v>
      </c>
      <c r="D8" s="15">
        <v>17530</v>
      </c>
      <c r="E8" s="15">
        <v>17971</v>
      </c>
      <c r="F8" s="15">
        <v>18485</v>
      </c>
      <c r="G8" s="15">
        <f>'Capex model'!G9</f>
        <v>18657.996023733249</v>
      </c>
      <c r="H8" s="15">
        <f>'Capex model'!H9</f>
        <v>18743.793745291303</v>
      </c>
      <c r="I8" s="8"/>
      <c r="J8" s="8"/>
      <c r="K8" s="24" t="s">
        <v>219</v>
      </c>
      <c r="L8" s="24" t="s">
        <v>224</v>
      </c>
      <c r="M8" s="24" t="s">
        <v>231</v>
      </c>
      <c r="N8" s="23"/>
      <c r="O8" s="23"/>
      <c r="P8" s="23"/>
    </row>
    <row r="9" spans="1:16" ht="15.6" x14ac:dyDescent="0.3">
      <c r="A9" s="5" t="s">
        <v>29</v>
      </c>
      <c r="B9" s="15">
        <v>1922</v>
      </c>
      <c r="C9" s="15">
        <v>2075</v>
      </c>
      <c r="D9" s="15">
        <v>2237</v>
      </c>
      <c r="E9" s="15">
        <v>1696</v>
      </c>
      <c r="F9" s="15">
        <v>2606</v>
      </c>
      <c r="G9" s="15">
        <f>F9</f>
        <v>2606</v>
      </c>
      <c r="H9" s="15">
        <f>G9</f>
        <v>2606</v>
      </c>
      <c r="I9" s="8"/>
      <c r="J9" s="8"/>
      <c r="K9" s="23" t="s">
        <v>220</v>
      </c>
      <c r="L9" s="23" t="s">
        <v>225</v>
      </c>
      <c r="M9" s="23" t="s">
        <v>229</v>
      </c>
      <c r="N9" s="23"/>
      <c r="O9" s="23"/>
      <c r="P9" s="23"/>
    </row>
    <row r="10" spans="1:16" ht="15.6" x14ac:dyDescent="0.3">
      <c r="A10" s="5" t="s">
        <v>30</v>
      </c>
      <c r="B10" s="15">
        <v>361</v>
      </c>
      <c r="C10" s="15">
        <v>231</v>
      </c>
      <c r="D10" s="15">
        <v>92</v>
      </c>
      <c r="E10" s="15">
        <v>180</v>
      </c>
      <c r="F10" s="15">
        <v>123</v>
      </c>
      <c r="G10" s="15">
        <f>F10</f>
        <v>123</v>
      </c>
      <c r="H10" s="15">
        <f>G10</f>
        <v>123</v>
      </c>
      <c r="I10" s="8"/>
      <c r="J10" s="8"/>
      <c r="K10" s="23" t="s">
        <v>39</v>
      </c>
      <c r="L10" s="23" t="s">
        <v>41</v>
      </c>
      <c r="M10" s="23"/>
      <c r="N10" s="23"/>
      <c r="O10" s="23"/>
      <c r="P10" s="23"/>
    </row>
    <row r="11" spans="1:16" ht="15.6" x14ac:dyDescent="0.3">
      <c r="A11" s="6" t="s">
        <v>31</v>
      </c>
      <c r="B11" s="8"/>
      <c r="C11" s="8"/>
      <c r="D11" s="8"/>
      <c r="E11" s="8"/>
      <c r="F11" s="8"/>
      <c r="G11" s="8"/>
      <c r="H11" s="8"/>
      <c r="I11" s="8"/>
      <c r="J11" s="8"/>
      <c r="K11" s="23" t="s">
        <v>221</v>
      </c>
      <c r="L11" s="23" t="s">
        <v>226</v>
      </c>
      <c r="M11" s="23"/>
      <c r="N11" s="23"/>
      <c r="O11" s="23"/>
      <c r="P11" s="23"/>
    </row>
    <row r="12" spans="1:16" ht="15.6" x14ac:dyDescent="0.3">
      <c r="A12" s="7" t="s">
        <v>41</v>
      </c>
      <c r="B12" s="15">
        <v>0</v>
      </c>
      <c r="C12" s="15">
        <v>0</v>
      </c>
      <c r="D12" s="15">
        <v>257</v>
      </c>
      <c r="E12" s="15">
        <v>578</v>
      </c>
      <c r="F12" s="15">
        <v>823</v>
      </c>
      <c r="G12" s="15">
        <f t="shared" ref="G12:H17" si="0">F12</f>
        <v>823</v>
      </c>
      <c r="H12" s="15">
        <f t="shared" si="0"/>
        <v>823</v>
      </c>
      <c r="I12" s="8" t="s">
        <v>238</v>
      </c>
      <c r="J12" s="8"/>
      <c r="K12" s="23" t="s">
        <v>51</v>
      </c>
      <c r="L12" s="23" t="s">
        <v>227</v>
      </c>
      <c r="M12" s="23"/>
      <c r="N12" s="23"/>
      <c r="O12" s="23"/>
      <c r="P12" s="23"/>
    </row>
    <row r="13" spans="1:16" ht="15.6" x14ac:dyDescent="0.3">
      <c r="A13" s="7" t="s">
        <v>32</v>
      </c>
      <c r="B13" s="15">
        <v>12</v>
      </c>
      <c r="C13" s="15">
        <v>2</v>
      </c>
      <c r="D13" s="15">
        <v>0</v>
      </c>
      <c r="E13" s="15">
        <v>0</v>
      </c>
      <c r="F13" s="15">
        <v>1</v>
      </c>
      <c r="G13" s="15">
        <f t="shared" si="0"/>
        <v>1</v>
      </c>
      <c r="H13" s="15">
        <f t="shared" si="0"/>
        <v>1</v>
      </c>
      <c r="I13" s="8" t="s">
        <v>238</v>
      </c>
      <c r="J13" s="8"/>
      <c r="K13" s="23" t="s">
        <v>222</v>
      </c>
      <c r="L13" s="23" t="s">
        <v>228</v>
      </c>
      <c r="M13" s="23"/>
      <c r="N13" s="23"/>
      <c r="O13" s="23"/>
      <c r="P13" s="23"/>
    </row>
    <row r="14" spans="1:16" ht="15.6" x14ac:dyDescent="0.3">
      <c r="A14" s="7" t="s">
        <v>33</v>
      </c>
      <c r="B14" s="15">
        <v>43</v>
      </c>
      <c r="C14" s="15">
        <v>56</v>
      </c>
      <c r="D14" s="15">
        <v>112</v>
      </c>
      <c r="E14" s="15">
        <v>131</v>
      </c>
      <c r="F14" s="15">
        <v>95</v>
      </c>
      <c r="G14" s="15">
        <f t="shared" si="0"/>
        <v>95</v>
      </c>
      <c r="H14" s="15">
        <f t="shared" si="0"/>
        <v>95</v>
      </c>
      <c r="I14" s="8"/>
      <c r="J14" s="8"/>
      <c r="K14" s="23" t="s">
        <v>223</v>
      </c>
      <c r="L14" s="23"/>
      <c r="M14" s="23"/>
      <c r="N14" s="23"/>
      <c r="O14" s="23"/>
      <c r="P14" s="23"/>
    </row>
    <row r="15" spans="1:16" ht="15.6" x14ac:dyDescent="0.3">
      <c r="A15" s="5" t="s">
        <v>34</v>
      </c>
      <c r="B15" s="15">
        <v>1058</v>
      </c>
      <c r="C15" s="15">
        <v>0</v>
      </c>
      <c r="D15" s="15">
        <v>0</v>
      </c>
      <c r="E15" s="15">
        <v>0</v>
      </c>
      <c r="F15" s="15">
        <v>0</v>
      </c>
      <c r="G15" s="15">
        <f t="shared" si="0"/>
        <v>0</v>
      </c>
      <c r="H15" s="15">
        <f t="shared" si="0"/>
        <v>0</v>
      </c>
      <c r="I15" s="8"/>
      <c r="J15" s="8"/>
      <c r="K15" s="23"/>
      <c r="L15" s="23"/>
      <c r="M15" s="23"/>
      <c r="N15" s="23"/>
      <c r="O15" s="23"/>
      <c r="P15" s="23"/>
    </row>
    <row r="16" spans="1:16" ht="15.6" x14ac:dyDescent="0.3">
      <c r="A16" s="5" t="s">
        <v>35</v>
      </c>
      <c r="B16" s="15">
        <v>431</v>
      </c>
      <c r="C16" s="15">
        <v>275</v>
      </c>
      <c r="D16" s="15">
        <v>290</v>
      </c>
      <c r="E16" s="15">
        <v>569</v>
      </c>
      <c r="F16" s="15">
        <v>591</v>
      </c>
      <c r="G16" s="15">
        <f t="shared" si="0"/>
        <v>591</v>
      </c>
      <c r="H16" s="15">
        <f t="shared" si="0"/>
        <v>591</v>
      </c>
      <c r="I16" s="8"/>
      <c r="J16" s="8"/>
    </row>
    <row r="17" spans="1:19" ht="15.6" x14ac:dyDescent="0.3">
      <c r="A17" s="5" t="s">
        <v>36</v>
      </c>
      <c r="B17" s="15">
        <v>885</v>
      </c>
      <c r="C17" s="15">
        <v>884</v>
      </c>
      <c r="D17" s="15">
        <v>145</v>
      </c>
      <c r="E17" s="15">
        <v>145</v>
      </c>
      <c r="F17" s="15">
        <v>140</v>
      </c>
      <c r="G17" s="15">
        <f t="shared" si="0"/>
        <v>140</v>
      </c>
      <c r="H17" s="15">
        <f t="shared" si="0"/>
        <v>140</v>
      </c>
      <c r="I17" s="8"/>
      <c r="J17" s="8"/>
      <c r="L17" s="46" t="s">
        <v>253</v>
      </c>
      <c r="M17" s="46"/>
      <c r="N17" s="46"/>
      <c r="O17" s="46"/>
      <c r="P17" s="46"/>
      <c r="Q17" s="46"/>
      <c r="R17" s="46"/>
      <c r="S17" s="46"/>
    </row>
    <row r="18" spans="1:19" ht="15.6" x14ac:dyDescent="0.3">
      <c r="A18" s="39" t="s">
        <v>37</v>
      </c>
      <c r="B18" s="40">
        <f>B8+B9+B10+B13+B14+B15+B16+B17</f>
        <v>21159</v>
      </c>
      <c r="C18" s="40">
        <f>C8+C9+C10+C12+C13+C14+C15+C16+C17</f>
        <v>20688</v>
      </c>
      <c r="D18" s="40">
        <f>D8+D9+D10+D12+D13+D14+D15+D16+D17</f>
        <v>20663</v>
      </c>
      <c r="E18" s="40">
        <f>E8+E9+E10+E12+E13+E14+E15+E16+E17</f>
        <v>21270</v>
      </c>
      <c r="F18" s="40">
        <f t="shared" ref="F18:H18" si="1">F8+F9+F10+F12+F13+F14+F15+F16+F17</f>
        <v>22864</v>
      </c>
      <c r="G18" s="40">
        <f t="shared" si="1"/>
        <v>23036.996023733249</v>
      </c>
      <c r="H18" s="40">
        <f t="shared" si="1"/>
        <v>23122.793745291303</v>
      </c>
      <c r="I18" s="8"/>
      <c r="J18" s="8"/>
      <c r="L18" s="46" t="s">
        <v>254</v>
      </c>
      <c r="M18" s="46"/>
      <c r="N18" s="46"/>
      <c r="O18" s="46"/>
      <c r="P18" s="46"/>
      <c r="Q18" s="46"/>
      <c r="R18" s="46"/>
      <c r="S18" s="46"/>
    </row>
    <row r="19" spans="1:19" ht="15.6" x14ac:dyDescent="0.3">
      <c r="A19" s="5"/>
      <c r="B19" s="8"/>
      <c r="C19" s="8"/>
      <c r="D19" s="8"/>
      <c r="E19" s="8"/>
      <c r="F19" s="8"/>
      <c r="G19" s="8"/>
      <c r="H19" s="8"/>
      <c r="I19" s="8"/>
      <c r="J19" s="8"/>
      <c r="L19" s="46" t="s">
        <v>255</v>
      </c>
      <c r="M19" s="46"/>
      <c r="N19" s="46"/>
      <c r="O19" s="46"/>
      <c r="P19" s="46"/>
      <c r="Q19" s="46"/>
      <c r="R19" s="46"/>
      <c r="S19" s="46"/>
    </row>
    <row r="20" spans="1:19" ht="15.6" x14ac:dyDescent="0.3">
      <c r="A20" s="6" t="s">
        <v>38</v>
      </c>
      <c r="B20" s="8"/>
      <c r="C20" s="8"/>
      <c r="D20" s="8"/>
      <c r="E20" s="8"/>
      <c r="F20" s="8"/>
      <c r="G20" s="15"/>
      <c r="H20" s="8"/>
      <c r="I20" s="8"/>
      <c r="J20" s="8"/>
      <c r="L20" s="46" t="s">
        <v>256</v>
      </c>
      <c r="M20" s="46"/>
      <c r="N20" s="46"/>
      <c r="O20" s="46"/>
      <c r="P20" s="46"/>
      <c r="Q20" s="46"/>
      <c r="R20" s="46"/>
      <c r="S20" s="46"/>
    </row>
    <row r="21" spans="1:19" ht="15.6" x14ac:dyDescent="0.3">
      <c r="A21" s="5" t="s">
        <v>39</v>
      </c>
      <c r="B21" s="15">
        <v>1425</v>
      </c>
      <c r="C21" s="15">
        <v>1953</v>
      </c>
      <c r="D21" s="15">
        <v>1862</v>
      </c>
      <c r="E21" s="15">
        <v>1926</v>
      </c>
      <c r="F21" s="15">
        <v>1889</v>
      </c>
      <c r="G21" s="15">
        <f>G22*'P&amp;L '!G10</f>
        <v>245.891929583614</v>
      </c>
      <c r="H21" s="15">
        <f>H22*'P&amp;L '!H10</f>
        <v>3920.004581221076</v>
      </c>
      <c r="I21" s="8"/>
      <c r="J21" s="8"/>
      <c r="L21" s="46" t="s">
        <v>257</v>
      </c>
      <c r="M21" s="46"/>
      <c r="N21" s="46"/>
      <c r="O21" s="46"/>
      <c r="P21" s="46"/>
      <c r="Q21" s="46"/>
      <c r="R21" s="46"/>
      <c r="S21" s="46"/>
    </row>
    <row r="22" spans="1:19" ht="15.6" x14ac:dyDescent="0.3">
      <c r="A22" s="16" t="s">
        <v>233</v>
      </c>
      <c r="B22" s="12">
        <f>B21/'P&amp;L '!B10</f>
        <v>0.30126849894291757</v>
      </c>
      <c r="C22" s="12">
        <f>C21/'P&amp;L '!C10</f>
        <v>0.33436055469953774</v>
      </c>
      <c r="D22" s="12">
        <f>D21/'P&amp;L '!D10</f>
        <v>0.24384494499738082</v>
      </c>
      <c r="E22" s="12">
        <f>E21/'P&amp;L '!E10</f>
        <v>0.31049492181202643</v>
      </c>
      <c r="F22" s="12">
        <f>F21/'P&amp;L '!F10</f>
        <v>0.28022548583296247</v>
      </c>
      <c r="G22" s="26">
        <f>AVERAGE(B22:F22)</f>
        <v>0.29403888125696503</v>
      </c>
      <c r="H22" s="26">
        <f>AVERAGE(C22:G22)</f>
        <v>0.2925929577197745</v>
      </c>
      <c r="I22" s="8"/>
      <c r="J22" s="8"/>
      <c r="L22" s="46" t="s">
        <v>258</v>
      </c>
      <c r="M22" s="46"/>
      <c r="N22" s="46"/>
      <c r="O22" s="46"/>
      <c r="P22" s="46"/>
      <c r="Q22" s="46"/>
      <c r="R22" s="46"/>
      <c r="S22" s="46"/>
    </row>
    <row r="23" spans="1:19" ht="15.6" x14ac:dyDescent="0.3">
      <c r="A23" s="6" t="s">
        <v>40</v>
      </c>
      <c r="B23" s="8"/>
      <c r="C23" s="8"/>
      <c r="D23" s="8"/>
      <c r="E23" s="8"/>
      <c r="F23" s="8"/>
      <c r="G23" s="8"/>
      <c r="H23" s="8"/>
      <c r="I23" s="8"/>
      <c r="J23" s="8"/>
      <c r="L23" s="46" t="s">
        <v>259</v>
      </c>
      <c r="M23" s="46"/>
      <c r="N23" s="46"/>
      <c r="O23" s="46"/>
      <c r="P23" s="46"/>
      <c r="Q23" s="46"/>
      <c r="R23" s="46"/>
      <c r="S23" s="46"/>
    </row>
    <row r="24" spans="1:19" ht="15.6" x14ac:dyDescent="0.3">
      <c r="A24" s="7" t="s">
        <v>41</v>
      </c>
      <c r="B24" s="15">
        <v>12957</v>
      </c>
      <c r="C24" s="15">
        <v>15052</v>
      </c>
      <c r="D24" s="15">
        <v>9850</v>
      </c>
      <c r="E24" s="15">
        <v>9874</v>
      </c>
      <c r="F24" s="15">
        <v>9149</v>
      </c>
      <c r="G24" s="15">
        <f>F24</f>
        <v>9149</v>
      </c>
      <c r="H24" s="15">
        <f>G24</f>
        <v>9149</v>
      </c>
      <c r="I24" s="8" t="s">
        <v>238</v>
      </c>
      <c r="J24" s="8"/>
      <c r="L24" s="46" t="s">
        <v>260</v>
      </c>
      <c r="M24" s="46"/>
      <c r="N24" s="46"/>
      <c r="O24" s="46"/>
      <c r="P24" s="46"/>
      <c r="Q24" s="46"/>
      <c r="R24" s="46"/>
      <c r="S24" s="46"/>
    </row>
    <row r="25" spans="1:19" ht="15.6" x14ac:dyDescent="0.3">
      <c r="A25" s="7" t="s">
        <v>42</v>
      </c>
      <c r="B25" s="15">
        <v>406</v>
      </c>
      <c r="C25" s="15">
        <v>716</v>
      </c>
      <c r="D25" s="15">
        <v>380</v>
      </c>
      <c r="E25" s="15">
        <v>155</v>
      </c>
      <c r="F25" s="15">
        <v>117</v>
      </c>
      <c r="G25" s="15">
        <f>G26*'P&amp;L '!G8</f>
        <v>49.746528977172055</v>
      </c>
      <c r="H25" s="15">
        <f>H26*'P&amp;L '!H8</f>
        <v>726.38296706217761</v>
      </c>
      <c r="I25" s="8"/>
      <c r="J25" s="8"/>
    </row>
    <row r="26" spans="1:19" ht="15.6" x14ac:dyDescent="0.3">
      <c r="A26" s="21" t="s">
        <v>205</v>
      </c>
      <c r="B26" s="12">
        <f>B25/'P&amp;L '!B8</f>
        <v>1.8395179194418014E-2</v>
      </c>
      <c r="C26" s="12">
        <f>C25/'P&amp;L '!C8</f>
        <v>2.486974643973602E-2</v>
      </c>
      <c r="D26" s="12">
        <f>D25/'P&amp;L '!D8</f>
        <v>1.1421014666987257E-2</v>
      </c>
      <c r="E26" s="12">
        <f>E25/'P&amp;L '!E8</f>
        <v>5.5195498896090022E-3</v>
      </c>
      <c r="F26" s="12">
        <f>F25/'P&amp;L '!F8</f>
        <v>3.5410550528131714E-3</v>
      </c>
      <c r="G26" s="26">
        <f>AVERAGE(B26:F26)</f>
        <v>1.2749309048712692E-2</v>
      </c>
      <c r="H26" s="26">
        <f>AVERAGE(C26:G26)</f>
        <v>1.1620135019571629E-2</v>
      </c>
      <c r="I26" s="8"/>
      <c r="J26" s="8"/>
    </row>
    <row r="27" spans="1:19" ht="15.6" x14ac:dyDescent="0.3">
      <c r="A27" s="7" t="s">
        <v>43</v>
      </c>
      <c r="B27" s="15">
        <v>313</v>
      </c>
      <c r="C27" s="15">
        <v>1592</v>
      </c>
      <c r="D27" s="15">
        <v>59</v>
      </c>
      <c r="E27" s="15">
        <v>53</v>
      </c>
      <c r="F27" s="15">
        <v>96</v>
      </c>
      <c r="G27" s="15">
        <f>'Cash flow'!G63</f>
        <v>96</v>
      </c>
      <c r="H27" s="15">
        <f>'Cash flow'!H63</f>
        <v>96</v>
      </c>
      <c r="I27" s="8"/>
      <c r="J27" s="8"/>
    </row>
    <row r="28" spans="1:19" ht="15.6" x14ac:dyDescent="0.3">
      <c r="A28" s="7" t="s">
        <v>44</v>
      </c>
      <c r="B28" s="15">
        <v>9063</v>
      </c>
      <c r="C28" s="15">
        <v>4171</v>
      </c>
      <c r="D28" s="15">
        <v>1353</v>
      </c>
      <c r="E28" s="15">
        <v>122</v>
      </c>
      <c r="F28" s="15">
        <v>81</v>
      </c>
      <c r="G28" s="15">
        <f t="shared" ref="G28:H32" si="2">F28</f>
        <v>81</v>
      </c>
      <c r="H28" s="15">
        <f t="shared" si="2"/>
        <v>81</v>
      </c>
      <c r="I28" s="8"/>
      <c r="J28" s="8"/>
    </row>
    <row r="29" spans="1:19" ht="15.6" x14ac:dyDescent="0.3">
      <c r="A29" s="7" t="s">
        <v>32</v>
      </c>
      <c r="B29" s="15">
        <v>2</v>
      </c>
      <c r="C29" s="15">
        <v>2</v>
      </c>
      <c r="D29" s="15">
        <v>3</v>
      </c>
      <c r="E29" s="15">
        <v>1</v>
      </c>
      <c r="F29" s="15">
        <v>1</v>
      </c>
      <c r="G29" s="15">
        <f t="shared" si="2"/>
        <v>1</v>
      </c>
      <c r="H29" s="15">
        <f t="shared" si="2"/>
        <v>1</v>
      </c>
      <c r="I29" s="8" t="s">
        <v>238</v>
      </c>
      <c r="J29" s="8"/>
    </row>
    <row r="30" spans="1:19" ht="15.6" x14ac:dyDescent="0.3">
      <c r="A30" s="7" t="s">
        <v>33</v>
      </c>
      <c r="B30" s="15">
        <v>53</v>
      </c>
      <c r="C30" s="15">
        <v>33</v>
      </c>
      <c r="D30" s="15">
        <v>89</v>
      </c>
      <c r="E30" s="15">
        <v>59</v>
      </c>
      <c r="F30" s="15">
        <v>41</v>
      </c>
      <c r="G30" s="15">
        <f t="shared" si="2"/>
        <v>41</v>
      </c>
      <c r="H30" s="15">
        <f t="shared" si="2"/>
        <v>41</v>
      </c>
      <c r="I30" s="8"/>
      <c r="J30" s="8"/>
    </row>
    <row r="31" spans="1:19" ht="15.6" x14ac:dyDescent="0.3">
      <c r="A31" s="5" t="s">
        <v>36</v>
      </c>
      <c r="B31" s="15">
        <v>0</v>
      </c>
      <c r="C31" s="15">
        <v>0</v>
      </c>
      <c r="D31" s="15">
        <v>872</v>
      </c>
      <c r="E31" s="15">
        <v>0</v>
      </c>
      <c r="F31" s="15">
        <v>1</v>
      </c>
      <c r="G31" s="15">
        <f t="shared" si="2"/>
        <v>1</v>
      </c>
      <c r="H31" s="15">
        <f t="shared" si="2"/>
        <v>1</v>
      </c>
      <c r="I31" s="8"/>
      <c r="J31" s="8"/>
    </row>
    <row r="32" spans="1:19" ht="15.6" x14ac:dyDescent="0.3">
      <c r="A32" s="5" t="s">
        <v>45</v>
      </c>
      <c r="B32" s="15">
        <v>349</v>
      </c>
      <c r="C32" s="15">
        <v>463</v>
      </c>
      <c r="D32" s="15">
        <v>336</v>
      </c>
      <c r="E32" s="15">
        <v>435</v>
      </c>
      <c r="F32" s="15">
        <v>251</v>
      </c>
      <c r="G32" s="15">
        <f t="shared" si="2"/>
        <v>251</v>
      </c>
      <c r="H32" s="15">
        <f t="shared" si="2"/>
        <v>251</v>
      </c>
      <c r="I32" s="8"/>
      <c r="J32" s="8"/>
    </row>
    <row r="33" spans="1:10" ht="15.6" x14ac:dyDescent="0.3">
      <c r="A33" s="39" t="s">
        <v>46</v>
      </c>
      <c r="B33" s="40">
        <f>B21+B24+B25+B27+B28+B29+B30+B32</f>
        <v>24568</v>
      </c>
      <c r="C33" s="40">
        <f>C21+C24+C25+C27+C28+C29+C30+C32</f>
        <v>23982</v>
      </c>
      <c r="D33" s="40">
        <f>D21+D24+D25+D27+D28+D29+D30+D31+D32</f>
        <v>14804</v>
      </c>
      <c r="E33" s="40">
        <f>E21+E24+E25+E27+E28+E29+E30+E31+E32</f>
        <v>12625</v>
      </c>
      <c r="F33" s="40">
        <f>F21+F24+F25+F27+F28+F29+F30+F31+F32</f>
        <v>11626</v>
      </c>
      <c r="G33" s="40">
        <f t="shared" ref="G33:H33" si="3">G21+G24+G25+G27+G28+G29+G30+G31+G32</f>
        <v>9915.6384585607848</v>
      </c>
      <c r="H33" s="40">
        <f t="shared" si="3"/>
        <v>14266.387548283254</v>
      </c>
      <c r="I33" s="8"/>
      <c r="J33" s="8"/>
    </row>
    <row r="34" spans="1:10" ht="15.6" x14ac:dyDescent="0.3">
      <c r="A34" s="39" t="s">
        <v>47</v>
      </c>
      <c r="B34" s="40">
        <f>B18+B33</f>
        <v>45727</v>
      </c>
      <c r="C34" s="40">
        <f>C18+C33</f>
        <v>44670</v>
      </c>
      <c r="D34" s="40">
        <f>D18+D33</f>
        <v>35467</v>
      </c>
      <c r="E34" s="40">
        <f>E18+E33</f>
        <v>33895</v>
      </c>
      <c r="F34" s="40">
        <f t="shared" ref="F34:H34" si="4">F18+F33</f>
        <v>34490</v>
      </c>
      <c r="G34" s="40">
        <f t="shared" si="4"/>
        <v>32952.63448229403</v>
      </c>
      <c r="H34" s="40">
        <f t="shared" si="4"/>
        <v>37389.181293574555</v>
      </c>
      <c r="I34" s="8"/>
      <c r="J34" s="8"/>
    </row>
    <row r="35" spans="1:10" ht="15.6" x14ac:dyDescent="0.3">
      <c r="A35" s="5"/>
      <c r="B35" s="8"/>
      <c r="C35" s="8"/>
      <c r="D35" s="8"/>
      <c r="E35" s="8"/>
      <c r="F35" s="8"/>
      <c r="G35" s="8"/>
      <c r="H35" s="8"/>
      <c r="I35" s="8"/>
      <c r="J35" s="8"/>
    </row>
    <row r="36" spans="1:10" ht="15.6" x14ac:dyDescent="0.3">
      <c r="A36" s="6" t="s">
        <v>48</v>
      </c>
      <c r="B36" s="8"/>
      <c r="C36" s="8"/>
      <c r="D36" s="8"/>
      <c r="E36" s="8"/>
      <c r="F36" s="8"/>
      <c r="G36" s="8"/>
      <c r="H36" s="8"/>
      <c r="I36" s="8"/>
      <c r="J36" s="8"/>
    </row>
    <row r="37" spans="1:10" ht="15.6" x14ac:dyDescent="0.3">
      <c r="A37" s="6" t="s">
        <v>49</v>
      </c>
      <c r="B37" s="8"/>
      <c r="C37" s="8"/>
      <c r="D37" s="8"/>
      <c r="E37" s="8"/>
      <c r="F37" s="8"/>
      <c r="G37" s="8"/>
      <c r="H37" s="8"/>
      <c r="I37" s="8"/>
      <c r="J37" s="8"/>
    </row>
    <row r="38" spans="1:10" ht="15.6" x14ac:dyDescent="0.3">
      <c r="A38" s="5" t="s">
        <v>50</v>
      </c>
      <c r="B38" s="15">
        <v>845</v>
      </c>
      <c r="C38" s="15">
        <v>845</v>
      </c>
      <c r="D38" s="15">
        <v>845</v>
      </c>
      <c r="E38" s="15">
        <v>845</v>
      </c>
      <c r="F38" s="15">
        <v>845</v>
      </c>
      <c r="G38" s="15">
        <f>F38</f>
        <v>845</v>
      </c>
      <c r="H38" s="15">
        <f>G38</f>
        <v>845</v>
      </c>
      <c r="I38" s="8" t="s">
        <v>238</v>
      </c>
      <c r="J38" s="8"/>
    </row>
    <row r="39" spans="1:10" ht="15.6" x14ac:dyDescent="0.3">
      <c r="A39" s="5" t="s">
        <v>51</v>
      </c>
      <c r="B39" s="15">
        <v>31468</v>
      </c>
      <c r="C39" s="15">
        <v>33436</v>
      </c>
      <c r="D39" s="15">
        <v>12087</v>
      </c>
      <c r="E39" s="15">
        <v>14350</v>
      </c>
      <c r="F39" s="15">
        <v>12481</v>
      </c>
      <c r="G39" s="15">
        <f ca="1">F39+'P&amp;L '!G34-'Ratio Analysis'!H8</f>
        <v>10974.065448837158</v>
      </c>
      <c r="H39" s="15">
        <f ca="1">G39+'P&amp;L '!H34-'Ratio Analysis'!I8</f>
        <v>31506.908950551413</v>
      </c>
      <c r="I39" s="8" t="s">
        <v>235</v>
      </c>
      <c r="J39" s="8"/>
    </row>
    <row r="40" spans="1:10" ht="15.6" x14ac:dyDescent="0.3">
      <c r="A40" s="39" t="s">
        <v>52</v>
      </c>
      <c r="B40" s="40">
        <f>B38+B39</f>
        <v>32313</v>
      </c>
      <c r="C40" s="40">
        <f>C39+C38</f>
        <v>34281</v>
      </c>
      <c r="D40" s="40">
        <f>D38+D39</f>
        <v>12932</v>
      </c>
      <c r="E40" s="40">
        <f>E38+E39</f>
        <v>15195</v>
      </c>
      <c r="F40" s="40">
        <f>F38+F39</f>
        <v>13326</v>
      </c>
      <c r="G40" s="40">
        <f t="shared" ref="G40:H40" ca="1" si="5">G38+G39</f>
        <v>11819.065448837158</v>
      </c>
      <c r="H40" s="40">
        <f t="shared" ca="1" si="5"/>
        <v>32351.908950551413</v>
      </c>
      <c r="I40" s="8"/>
      <c r="J40" s="8"/>
    </row>
    <row r="41" spans="1:10" ht="15.6" x14ac:dyDescent="0.3">
      <c r="A41" s="5"/>
      <c r="B41" s="8"/>
      <c r="C41" s="8"/>
      <c r="D41" s="8"/>
      <c r="E41" s="8"/>
      <c r="F41" s="8"/>
      <c r="G41" s="8"/>
      <c r="H41" s="8"/>
      <c r="I41" s="8"/>
      <c r="J41" s="8"/>
    </row>
    <row r="42" spans="1:10" ht="15.6" x14ac:dyDescent="0.3">
      <c r="A42" s="6" t="s">
        <v>53</v>
      </c>
      <c r="B42" s="8"/>
      <c r="C42" s="8"/>
      <c r="D42" s="8"/>
      <c r="E42" s="8"/>
      <c r="F42" s="8"/>
      <c r="G42" s="8"/>
      <c r="H42" s="8"/>
      <c r="I42" s="8"/>
      <c r="J42" s="8"/>
    </row>
    <row r="43" spans="1:10" ht="15.6" x14ac:dyDescent="0.3">
      <c r="A43" s="6" t="s">
        <v>54</v>
      </c>
      <c r="B43" s="8"/>
      <c r="C43" s="8"/>
      <c r="D43" s="8"/>
      <c r="E43" s="8"/>
      <c r="F43" s="8"/>
      <c r="G43" s="8"/>
      <c r="H43" s="8"/>
      <c r="I43" s="8"/>
      <c r="J43" s="8"/>
    </row>
    <row r="44" spans="1:10" ht="15.6" x14ac:dyDescent="0.3">
      <c r="A44" s="6" t="s">
        <v>55</v>
      </c>
      <c r="B44" s="8"/>
      <c r="C44" s="8"/>
      <c r="D44" s="8"/>
      <c r="E44" s="8"/>
      <c r="F44" s="8"/>
      <c r="G44" s="8"/>
      <c r="H44" s="8"/>
      <c r="I44" s="8"/>
      <c r="J44" s="8"/>
    </row>
    <row r="45" spans="1:10" ht="15.6" x14ac:dyDescent="0.3">
      <c r="A45" s="7" t="s">
        <v>56</v>
      </c>
      <c r="B45" s="15">
        <v>4312</v>
      </c>
      <c r="C45" s="15">
        <v>2111</v>
      </c>
      <c r="D45" s="15">
        <v>1500</v>
      </c>
      <c r="E45" s="15">
        <v>4246</v>
      </c>
      <c r="F45" s="15">
        <v>5990</v>
      </c>
      <c r="G45" s="15">
        <f t="shared" ref="G45:H50" si="6">F45</f>
        <v>5990</v>
      </c>
      <c r="H45" s="15">
        <f t="shared" si="6"/>
        <v>5990</v>
      </c>
      <c r="I45" s="8" t="s">
        <v>238</v>
      </c>
      <c r="J45" s="8"/>
    </row>
    <row r="46" spans="1:10" ht="15.6" x14ac:dyDescent="0.3">
      <c r="A46" s="7" t="s">
        <v>70</v>
      </c>
      <c r="B46" s="15">
        <v>0</v>
      </c>
      <c r="C46" s="15">
        <v>6</v>
      </c>
      <c r="D46" s="15">
        <v>19</v>
      </c>
      <c r="E46" s="15">
        <v>178</v>
      </c>
      <c r="F46" s="15">
        <v>178</v>
      </c>
      <c r="G46" s="15">
        <f t="shared" si="6"/>
        <v>178</v>
      </c>
      <c r="H46" s="15">
        <f t="shared" si="6"/>
        <v>178</v>
      </c>
      <c r="I46" s="8" t="s">
        <v>238</v>
      </c>
      <c r="J46" s="8"/>
    </row>
    <row r="47" spans="1:10" ht="15.6" x14ac:dyDescent="0.3">
      <c r="A47" s="7" t="s">
        <v>59</v>
      </c>
      <c r="B47" s="15">
        <v>8</v>
      </c>
      <c r="C47" s="15">
        <v>0</v>
      </c>
      <c r="D47" s="15">
        <v>0</v>
      </c>
      <c r="E47" s="15">
        <v>0</v>
      </c>
      <c r="F47" s="15">
        <v>342</v>
      </c>
      <c r="G47" s="15">
        <f t="shared" si="6"/>
        <v>342</v>
      </c>
      <c r="H47" s="15">
        <f t="shared" si="6"/>
        <v>342</v>
      </c>
      <c r="I47" s="8"/>
      <c r="J47" s="8"/>
    </row>
    <row r="48" spans="1:10" ht="15.6" x14ac:dyDescent="0.3">
      <c r="A48" s="5" t="s">
        <v>60</v>
      </c>
      <c r="B48" s="15">
        <v>1036</v>
      </c>
      <c r="C48" s="15">
        <v>1024</v>
      </c>
      <c r="D48" s="15">
        <v>1060</v>
      </c>
      <c r="E48" s="15">
        <v>925</v>
      </c>
      <c r="F48" s="15">
        <v>963</v>
      </c>
      <c r="G48" s="15">
        <f t="shared" si="6"/>
        <v>963</v>
      </c>
      <c r="H48" s="15">
        <f t="shared" si="6"/>
        <v>963</v>
      </c>
      <c r="I48" s="8"/>
      <c r="J48" s="8"/>
    </row>
    <row r="49" spans="1:10" ht="15.6" x14ac:dyDescent="0.3">
      <c r="A49" s="5" t="s">
        <v>61</v>
      </c>
      <c r="B49" s="15">
        <v>182</v>
      </c>
      <c r="C49" s="15">
        <v>212</v>
      </c>
      <c r="D49" s="15">
        <v>189</v>
      </c>
      <c r="E49" s="15">
        <v>199</v>
      </c>
      <c r="F49" s="15">
        <v>200</v>
      </c>
      <c r="G49" s="15">
        <f t="shared" si="6"/>
        <v>200</v>
      </c>
      <c r="H49" s="15">
        <f t="shared" si="6"/>
        <v>200</v>
      </c>
      <c r="I49" s="8"/>
      <c r="J49" s="8"/>
    </row>
    <row r="50" spans="1:10" ht="15.6" x14ac:dyDescent="0.3">
      <c r="A50" s="5" t="s">
        <v>71</v>
      </c>
      <c r="B50" s="15">
        <v>0</v>
      </c>
      <c r="C50" s="15">
        <v>942</v>
      </c>
      <c r="D50" s="15">
        <v>2314</v>
      </c>
      <c r="E50" s="15">
        <v>2311</v>
      </c>
      <c r="F50" s="15">
        <v>2292</v>
      </c>
      <c r="G50" s="15">
        <f t="shared" si="6"/>
        <v>2292</v>
      </c>
      <c r="H50" s="15">
        <f t="shared" si="6"/>
        <v>2292</v>
      </c>
      <c r="I50" s="8"/>
      <c r="J50" s="8"/>
    </row>
    <row r="51" spans="1:10" ht="15.6" x14ac:dyDescent="0.3">
      <c r="A51" s="39" t="s">
        <v>62</v>
      </c>
      <c r="B51" s="40">
        <f>B45+B47+B48+B49</f>
        <v>5538</v>
      </c>
      <c r="C51" s="40">
        <f>C45+C46+C47+C48+C49+C50</f>
        <v>4295</v>
      </c>
      <c r="D51" s="40">
        <f>D45+D46+D47+D48+D49+D50</f>
        <v>5082</v>
      </c>
      <c r="E51" s="40">
        <f>E45+E46+E47+E48+E49+E50</f>
        <v>7859</v>
      </c>
      <c r="F51" s="40">
        <f>F45+F46+F47+F48+F49+F50</f>
        <v>9965</v>
      </c>
      <c r="G51" s="40">
        <f t="shared" ref="G51:H51" si="7">G45+G46+G47+G48+G49+G50</f>
        <v>9965</v>
      </c>
      <c r="H51" s="40">
        <f t="shared" si="7"/>
        <v>9965</v>
      </c>
      <c r="I51" s="8"/>
      <c r="J51" s="8"/>
    </row>
    <row r="52" spans="1:10" ht="15.6" x14ac:dyDescent="0.3">
      <c r="A52" s="5"/>
      <c r="B52" s="15"/>
      <c r="C52" s="15"/>
      <c r="D52" s="15"/>
      <c r="E52" s="15"/>
      <c r="F52" s="15"/>
      <c r="G52" s="15"/>
      <c r="H52" s="15"/>
      <c r="I52" s="8"/>
      <c r="J52" s="8"/>
    </row>
    <row r="53" spans="1:10" ht="15.6" x14ac:dyDescent="0.3">
      <c r="A53" s="6" t="s">
        <v>63</v>
      </c>
      <c r="B53" s="15"/>
      <c r="C53" s="15"/>
      <c r="D53" s="15"/>
      <c r="E53" s="15"/>
      <c r="F53" s="15"/>
      <c r="G53" s="15"/>
      <c r="H53" s="15"/>
      <c r="I53" s="8"/>
      <c r="J53" s="8"/>
    </row>
    <row r="54" spans="1:10" ht="15.6" x14ac:dyDescent="0.3">
      <c r="A54" s="6" t="s">
        <v>64</v>
      </c>
      <c r="B54" s="15"/>
      <c r="C54" s="15"/>
      <c r="D54" s="15"/>
      <c r="E54" s="15"/>
      <c r="F54" s="15"/>
      <c r="G54" s="15"/>
      <c r="H54" s="15"/>
      <c r="I54" s="8"/>
      <c r="J54" s="8"/>
    </row>
    <row r="55" spans="1:10" ht="15.6" x14ac:dyDescent="0.3">
      <c r="A55" s="6" t="s">
        <v>73</v>
      </c>
      <c r="B55" s="15">
        <v>0</v>
      </c>
      <c r="C55" s="15">
        <v>15</v>
      </c>
      <c r="D55" s="15">
        <v>21</v>
      </c>
      <c r="E55" s="15">
        <v>88</v>
      </c>
      <c r="F55" s="15">
        <v>138</v>
      </c>
      <c r="G55" s="15">
        <f t="shared" ref="G55:H57" si="8">F55</f>
        <v>138</v>
      </c>
      <c r="H55" s="15">
        <f t="shared" si="8"/>
        <v>138</v>
      </c>
      <c r="I55" s="8" t="s">
        <v>238</v>
      </c>
      <c r="J55" s="8"/>
    </row>
    <row r="56" spans="1:10" ht="15.6" x14ac:dyDescent="0.3">
      <c r="A56" s="5" t="s">
        <v>65</v>
      </c>
      <c r="B56" s="15">
        <v>2161</v>
      </c>
      <c r="C56" s="15">
        <v>712</v>
      </c>
      <c r="D56" s="15">
        <v>10341</v>
      </c>
      <c r="E56" s="15">
        <v>4210</v>
      </c>
      <c r="F56" s="15">
        <v>4661</v>
      </c>
      <c r="G56" s="15">
        <f t="shared" si="8"/>
        <v>4661</v>
      </c>
      <c r="H56" s="15">
        <f t="shared" si="8"/>
        <v>4661</v>
      </c>
      <c r="I56" s="8" t="s">
        <v>238</v>
      </c>
      <c r="J56" s="8"/>
    </row>
    <row r="57" spans="1:10" ht="15.6" x14ac:dyDescent="0.3">
      <c r="A57" s="5" t="s">
        <v>57</v>
      </c>
      <c r="B57" s="15">
        <v>0</v>
      </c>
      <c r="C57" s="15">
        <v>280</v>
      </c>
      <c r="D57" s="15">
        <v>307</v>
      </c>
      <c r="E57" s="15">
        <v>399</v>
      </c>
      <c r="F57" s="15">
        <v>569</v>
      </c>
      <c r="G57" s="15">
        <f t="shared" si="8"/>
        <v>569</v>
      </c>
      <c r="H57" s="15">
        <f t="shared" si="8"/>
        <v>569</v>
      </c>
      <c r="I57" s="8"/>
      <c r="J57" s="8"/>
    </row>
    <row r="58" spans="1:10" ht="15.6" x14ac:dyDescent="0.3">
      <c r="A58" s="5" t="s">
        <v>74</v>
      </c>
      <c r="B58" s="15"/>
      <c r="C58" s="15"/>
      <c r="D58" s="15"/>
      <c r="E58" s="15"/>
      <c r="F58" s="15"/>
      <c r="G58" s="15"/>
      <c r="H58" s="15"/>
      <c r="I58" s="8"/>
      <c r="J58" s="8"/>
    </row>
    <row r="59" spans="1:10" ht="15.6" x14ac:dyDescent="0.3">
      <c r="A59" s="5" t="s">
        <v>58</v>
      </c>
      <c r="B59" s="15">
        <v>38</v>
      </c>
      <c r="C59" s="15">
        <v>2038</v>
      </c>
      <c r="D59" s="15">
        <v>2088</v>
      </c>
      <c r="E59" s="15">
        <v>2106</v>
      </c>
      <c r="F59" s="15">
        <v>2204</v>
      </c>
      <c r="G59" s="15">
        <f>G60*('P&amp;L '!G11+'P&amp;L '!G12)</f>
        <v>213.66756854462596</v>
      </c>
      <c r="H59" s="15">
        <f>H60*('P&amp;L '!H11+'P&amp;L '!H12)</f>
        <v>4133.7557669363277</v>
      </c>
      <c r="I59" s="8"/>
      <c r="J59" s="8"/>
    </row>
    <row r="60" spans="1:10" ht="15.6" x14ac:dyDescent="0.3">
      <c r="A60" s="22" t="s">
        <v>236</v>
      </c>
      <c r="B60" s="12">
        <f>B59/('P&amp;L '!B11+'P&amp;L '!B12)</f>
        <v>8.4613671788020487E-3</v>
      </c>
      <c r="C60" s="12">
        <f>C59/('P&amp;L '!C11+'P&amp;L '!C12)</f>
        <v>0.33306095767282234</v>
      </c>
      <c r="D60" s="12">
        <f>D59/('P&amp;L '!D11+'P&amp;L '!D12)</f>
        <v>0.26841496336290011</v>
      </c>
      <c r="E60" s="12">
        <f>E59/('P&amp;L '!E11+'P&amp;L '!E12)</f>
        <v>0.3311320754716981</v>
      </c>
      <c r="F60" s="12">
        <f>F59/('P&amp;L '!F11+'P&amp;L '!F12)</f>
        <v>0.32387950036737695</v>
      </c>
      <c r="G60" s="12">
        <f>AVERAGE(B60:F60)</f>
        <v>0.25298977281071988</v>
      </c>
      <c r="H60" s="12">
        <f>AVERAGE(C60:G60)</f>
        <v>0.30189545393710349</v>
      </c>
      <c r="I60" s="8"/>
      <c r="J60" s="8"/>
    </row>
    <row r="61" spans="1:10" ht="15.6" x14ac:dyDescent="0.3">
      <c r="A61" s="5" t="s">
        <v>66</v>
      </c>
      <c r="B61" s="15">
        <v>1507</v>
      </c>
      <c r="C61" s="15">
        <v>0</v>
      </c>
      <c r="D61" s="15">
        <v>0</v>
      </c>
      <c r="E61" s="15">
        <v>0</v>
      </c>
      <c r="F61" s="15">
        <v>0</v>
      </c>
      <c r="G61" s="15">
        <f>G62*('P&amp;L '!G11+'P&amp;L '!G12)</f>
        <v>56.680782315695289</v>
      </c>
      <c r="H61" s="15">
        <f>H62*('P&amp;L '!H11+'P&amp;L '!H12)</f>
        <v>183.78854055354904</v>
      </c>
      <c r="I61" s="8"/>
      <c r="J61" s="8"/>
    </row>
    <row r="62" spans="1:10" ht="15.6" x14ac:dyDescent="0.3">
      <c r="A62" s="16" t="s">
        <v>236</v>
      </c>
      <c r="B62" s="12">
        <f>B61/('P&amp;L '!B11+'P&amp;L '!B12)</f>
        <v>0.33556000890670229</v>
      </c>
      <c r="C62" s="12">
        <f>C61/('P&amp;L '!C11+'P&amp;L '!C12)</f>
        <v>0</v>
      </c>
      <c r="D62" s="12">
        <f>D61/('P&amp;L '!D11+'P&amp;L '!D12)</f>
        <v>0</v>
      </c>
      <c r="E62" s="12">
        <f>E61/('P&amp;L '!E11+'P&amp;L '!E12)</f>
        <v>0</v>
      </c>
      <c r="F62" s="12">
        <f>F61/('P&amp;L '!F11+'P&amp;L '!F12)</f>
        <v>0</v>
      </c>
      <c r="G62" s="12">
        <f>AVERAGE(B62:F62)</f>
        <v>6.7112001781340455E-2</v>
      </c>
      <c r="H62" s="12">
        <f>AVERAGE(C62:G62)</f>
        <v>1.3422400356268091E-2</v>
      </c>
      <c r="I62" s="8"/>
      <c r="J62" s="8"/>
    </row>
    <row r="63" spans="1:10" ht="15.6" x14ac:dyDescent="0.3">
      <c r="A63" s="5" t="s">
        <v>59</v>
      </c>
      <c r="B63" s="15">
        <v>1971</v>
      </c>
      <c r="C63" s="15">
        <v>1901</v>
      </c>
      <c r="D63" s="15">
        <v>2419</v>
      </c>
      <c r="E63" s="15">
        <v>1414</v>
      </c>
      <c r="F63" s="15">
        <v>1717</v>
      </c>
      <c r="G63" s="15">
        <f t="shared" ref="G63:H67" si="9">F63</f>
        <v>1717</v>
      </c>
      <c r="H63" s="15">
        <f t="shared" si="9"/>
        <v>1717</v>
      </c>
      <c r="I63" s="8"/>
      <c r="J63" s="8"/>
    </row>
    <row r="64" spans="1:10" ht="15.6" x14ac:dyDescent="0.3">
      <c r="A64" s="5" t="s">
        <v>67</v>
      </c>
      <c r="B64" s="15">
        <v>1947</v>
      </c>
      <c r="C64" s="15">
        <v>860</v>
      </c>
      <c r="D64" s="15">
        <v>1687</v>
      </c>
      <c r="E64" s="15">
        <v>2126</v>
      </c>
      <c r="F64" s="15">
        <v>1579</v>
      </c>
      <c r="G64" s="15">
        <f t="shared" si="9"/>
        <v>1579</v>
      </c>
      <c r="H64" s="15">
        <f t="shared" si="9"/>
        <v>1579</v>
      </c>
      <c r="I64" s="8"/>
      <c r="J64" s="8"/>
    </row>
    <row r="65" spans="1:10" ht="15.6" x14ac:dyDescent="0.3">
      <c r="A65" s="5" t="s">
        <v>72</v>
      </c>
      <c r="B65" s="15">
        <v>0</v>
      </c>
      <c r="C65" s="15">
        <v>256</v>
      </c>
      <c r="D65" s="15">
        <v>564</v>
      </c>
      <c r="E65" s="15">
        <v>477</v>
      </c>
      <c r="F65" s="15">
        <v>0</v>
      </c>
      <c r="G65" s="15">
        <f t="shared" si="9"/>
        <v>0</v>
      </c>
      <c r="H65" s="15">
        <f t="shared" si="9"/>
        <v>0</v>
      </c>
      <c r="I65" s="8"/>
      <c r="J65" s="8"/>
    </row>
    <row r="66" spans="1:10" ht="15.6" x14ac:dyDescent="0.3">
      <c r="A66" s="5" t="s">
        <v>61</v>
      </c>
      <c r="B66" s="15">
        <v>70</v>
      </c>
      <c r="C66" s="15">
        <v>32</v>
      </c>
      <c r="D66" s="15">
        <v>26</v>
      </c>
      <c r="E66" s="15">
        <v>21</v>
      </c>
      <c r="F66" s="15">
        <v>19</v>
      </c>
      <c r="G66" s="15">
        <f t="shared" si="9"/>
        <v>19</v>
      </c>
      <c r="H66" s="15">
        <f t="shared" si="9"/>
        <v>19</v>
      </c>
      <c r="I66" s="8"/>
      <c r="J66" s="8"/>
    </row>
    <row r="67" spans="1:10" ht="15.6" x14ac:dyDescent="0.3">
      <c r="A67" s="5" t="s">
        <v>68</v>
      </c>
      <c r="B67" s="15">
        <v>182</v>
      </c>
      <c r="C67" s="15">
        <v>0</v>
      </c>
      <c r="D67" s="15">
        <v>0</v>
      </c>
      <c r="E67" s="15">
        <v>0</v>
      </c>
      <c r="F67" s="15">
        <v>312</v>
      </c>
      <c r="G67" s="15">
        <f t="shared" si="9"/>
        <v>312</v>
      </c>
      <c r="H67" s="15">
        <f t="shared" si="9"/>
        <v>312</v>
      </c>
      <c r="I67" s="8"/>
      <c r="J67" s="8"/>
    </row>
    <row r="68" spans="1:10" ht="15.6" x14ac:dyDescent="0.3">
      <c r="A68" s="39" t="s">
        <v>69</v>
      </c>
      <c r="B68" s="40">
        <f>B56+B57+B59+B61+B63+B64+B66+B67</f>
        <v>7876</v>
      </c>
      <c r="C68" s="40">
        <f t="shared" ref="C68:H68" si="10">C55+C56+C57+C59+C61+C63+C64+C65+C66+C67</f>
        <v>6094</v>
      </c>
      <c r="D68" s="40">
        <f t="shared" si="10"/>
        <v>17453</v>
      </c>
      <c r="E68" s="40">
        <f t="shared" si="10"/>
        <v>10841</v>
      </c>
      <c r="F68" s="40">
        <f t="shared" si="10"/>
        <v>11199</v>
      </c>
      <c r="G68" s="40">
        <f t="shared" si="10"/>
        <v>9265.3483508603204</v>
      </c>
      <c r="H68" s="40">
        <f t="shared" si="10"/>
        <v>13312.544307489876</v>
      </c>
      <c r="I68" s="8"/>
      <c r="J68" s="8"/>
    </row>
    <row r="69" spans="1:10" ht="15.6" x14ac:dyDescent="0.3">
      <c r="A69" s="39" t="s">
        <v>47</v>
      </c>
      <c r="B69" s="40">
        <f>B40+B51+B68</f>
        <v>45727</v>
      </c>
      <c r="C69" s="40">
        <f>C40+C51+C68</f>
        <v>44670</v>
      </c>
      <c r="D69" s="40">
        <f>D40+D51+D68</f>
        <v>35467</v>
      </c>
      <c r="E69" s="40">
        <f>E51+E68+E40</f>
        <v>33895</v>
      </c>
      <c r="F69" s="40">
        <f>F51+F68+F40</f>
        <v>34490</v>
      </c>
      <c r="G69" s="40">
        <f ca="1">G51+G68+G40</f>
        <v>31049.413799697479</v>
      </c>
      <c r="H69" s="40">
        <f ca="1">H51+H68+H40</f>
        <v>55629.453258041292</v>
      </c>
      <c r="I69" s="8"/>
      <c r="J69" s="8"/>
    </row>
    <row r="71" spans="1:10" x14ac:dyDescent="0.3">
      <c r="A71" s="19" t="s">
        <v>232</v>
      </c>
      <c r="B71" s="20">
        <f>B34-B69</f>
        <v>0</v>
      </c>
      <c r="C71" s="20">
        <f>C34-C69</f>
        <v>0</v>
      </c>
      <c r="D71" s="20">
        <f>D34-D69</f>
        <v>0</v>
      </c>
      <c r="E71" s="20">
        <f>E34-E69</f>
        <v>0</v>
      </c>
      <c r="F71" s="20">
        <f>F34-F69</f>
        <v>0</v>
      </c>
      <c r="G71" s="20">
        <f t="shared" ref="G71" ca="1" si="11">G34-G69</f>
        <v>1903.2206825965513</v>
      </c>
      <c r="H71" s="20">
        <v>1899.02</v>
      </c>
      <c r="I71" s="20"/>
    </row>
    <row r="74" spans="1:10" ht="15.6" x14ac:dyDescent="0.3">
      <c r="A74" s="9" t="s">
        <v>345</v>
      </c>
      <c r="B74" s="8"/>
      <c r="C74" s="8"/>
      <c r="D74" s="8"/>
      <c r="E74" s="8"/>
      <c r="F74" s="8"/>
      <c r="G74" s="8"/>
      <c r="H74" s="8"/>
      <c r="I74" s="8"/>
      <c r="J74" s="8"/>
    </row>
    <row r="75" spans="1:10" ht="15.6" x14ac:dyDescent="0.3">
      <c r="A75" s="8" t="s">
        <v>346</v>
      </c>
      <c r="B75" s="15">
        <f>B33-B68-B27-B28</f>
        <v>7316</v>
      </c>
      <c r="C75" s="15">
        <f t="shared" ref="C75:H75" si="12">C33-C68-C27-C28</f>
        <v>12125</v>
      </c>
      <c r="D75" s="15">
        <f t="shared" si="12"/>
        <v>-4061</v>
      </c>
      <c r="E75" s="15">
        <f t="shared" si="12"/>
        <v>1609</v>
      </c>
      <c r="F75" s="15">
        <f t="shared" si="12"/>
        <v>250</v>
      </c>
      <c r="G75" s="15">
        <f t="shared" si="12"/>
        <v>473.29010770046443</v>
      </c>
      <c r="H75" s="15">
        <f t="shared" si="12"/>
        <v>776.84324079337784</v>
      </c>
      <c r="I75" s="8" t="s">
        <v>348</v>
      </c>
      <c r="J75" s="8"/>
    </row>
    <row r="76" spans="1:10" ht="15.6" x14ac:dyDescent="0.3">
      <c r="A76" s="8" t="s">
        <v>347</v>
      </c>
      <c r="B76" s="8"/>
      <c r="C76" s="15">
        <f>C75-B75</f>
        <v>4809</v>
      </c>
      <c r="D76" s="15">
        <f t="shared" ref="D76:E76" si="13">D75-C75</f>
        <v>-16186</v>
      </c>
      <c r="E76" s="15">
        <f t="shared" si="13"/>
        <v>5670</v>
      </c>
      <c r="F76" s="15">
        <f>F75-E75</f>
        <v>-1359</v>
      </c>
      <c r="G76" s="15">
        <f t="shared" ref="G76" si="14">G75-F75</f>
        <v>223.29010770046443</v>
      </c>
      <c r="H76" s="15">
        <f t="shared" ref="H76" si="15">H75-G75</f>
        <v>303.55313309291341</v>
      </c>
      <c r="I76" s="8" t="s">
        <v>349</v>
      </c>
      <c r="J7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8677-10D7-4D23-8518-A5183FE2E1B7}">
  <dimension ref="A1:R65"/>
  <sheetViews>
    <sheetView topLeftCell="A47" zoomScaleNormal="100" workbookViewId="0">
      <selection activeCell="I70" sqref="I70"/>
    </sheetView>
  </sheetViews>
  <sheetFormatPr defaultRowHeight="14.4" x14ac:dyDescent="0.3"/>
  <cols>
    <col min="1" max="1" width="52.6640625" bestFit="1" customWidth="1"/>
    <col min="2" max="8" width="13.5546875" bestFit="1" customWidth="1"/>
  </cols>
  <sheetData>
    <row r="1" spans="1:16" ht="17.399999999999999" x14ac:dyDescent="0.3">
      <c r="A1" s="1" t="s">
        <v>0</v>
      </c>
      <c r="B1" s="2">
        <v>44286</v>
      </c>
      <c r="C1" s="2">
        <v>44651</v>
      </c>
      <c r="D1" s="2">
        <v>45016</v>
      </c>
      <c r="E1" s="2">
        <v>45382</v>
      </c>
      <c r="F1" s="2">
        <v>45747</v>
      </c>
      <c r="G1" s="2">
        <v>46112</v>
      </c>
      <c r="H1" s="2">
        <v>46477</v>
      </c>
    </row>
    <row r="2" spans="1:16" ht="17.399999999999999" x14ac:dyDescent="0.3">
      <c r="A2" s="1" t="s">
        <v>75</v>
      </c>
      <c r="B2" s="3" t="s">
        <v>3</v>
      </c>
      <c r="C2" s="3" t="s">
        <v>3</v>
      </c>
      <c r="D2" s="3" t="s">
        <v>3</v>
      </c>
      <c r="E2" s="3" t="s">
        <v>3</v>
      </c>
      <c r="F2" s="3" t="s">
        <v>3</v>
      </c>
      <c r="G2" s="3" t="s">
        <v>3</v>
      </c>
      <c r="H2" s="3" t="s">
        <v>3</v>
      </c>
    </row>
    <row r="3" spans="1:16" ht="17.399999999999999" x14ac:dyDescent="0.3">
      <c r="A3" s="1" t="s">
        <v>2</v>
      </c>
      <c r="B3" s="3" t="s">
        <v>4</v>
      </c>
      <c r="C3" s="3" t="s">
        <v>4</v>
      </c>
      <c r="D3" s="3" t="s">
        <v>4</v>
      </c>
      <c r="E3" s="3" t="s">
        <v>4</v>
      </c>
      <c r="F3" s="3" t="s">
        <v>4</v>
      </c>
      <c r="G3" s="3" t="s">
        <v>203</v>
      </c>
      <c r="H3" s="3" t="s">
        <v>203</v>
      </c>
    </row>
    <row r="4" spans="1:16" ht="15.6" x14ac:dyDescent="0.3">
      <c r="A4" s="8"/>
      <c r="B4" s="8"/>
    </row>
    <row r="5" spans="1:16" ht="15.6" x14ac:dyDescent="0.3">
      <c r="A5" s="9" t="s">
        <v>76</v>
      </c>
      <c r="B5" s="8"/>
      <c r="C5" s="8"/>
      <c r="D5" s="8"/>
      <c r="E5" s="8"/>
      <c r="F5" s="8"/>
      <c r="G5" s="8"/>
      <c r="H5" s="8"/>
    </row>
    <row r="6" spans="1:16" ht="15.6" x14ac:dyDescent="0.3">
      <c r="A6" s="8" t="s">
        <v>77</v>
      </c>
      <c r="B6" s="15">
        <v>10574</v>
      </c>
      <c r="C6" s="15">
        <v>14100</v>
      </c>
      <c r="D6" s="15">
        <v>15288</v>
      </c>
      <c r="E6" s="15">
        <v>10307</v>
      </c>
      <c r="F6" s="15">
        <v>13553</v>
      </c>
      <c r="G6" s="15">
        <f>'P&amp;L '!G29</f>
        <v>-1915.6506354957983</v>
      </c>
      <c r="H6" s="15">
        <f>'P&amp;L '!H29</f>
        <v>26785.505321288561</v>
      </c>
      <c r="I6" s="17"/>
      <c r="J6" s="46" t="s">
        <v>261</v>
      </c>
      <c r="K6" s="46"/>
      <c r="L6" s="46"/>
      <c r="M6" s="46"/>
      <c r="N6" s="46"/>
      <c r="O6" s="46"/>
      <c r="P6" s="46"/>
    </row>
    <row r="7" spans="1:16" ht="15.6" x14ac:dyDescent="0.3">
      <c r="A7" s="9" t="s">
        <v>78</v>
      </c>
      <c r="B7" s="8"/>
      <c r="C7" s="8"/>
      <c r="D7" s="8"/>
      <c r="E7" s="8"/>
      <c r="F7" s="8"/>
      <c r="G7" s="8"/>
      <c r="H7" s="8"/>
      <c r="J7" s="46" t="s">
        <v>262</v>
      </c>
      <c r="K7" s="46"/>
      <c r="L7" s="46"/>
      <c r="M7" s="46"/>
      <c r="N7" s="46"/>
      <c r="O7" s="46"/>
      <c r="P7" s="46"/>
    </row>
    <row r="8" spans="1:16" ht="15.6" x14ac:dyDescent="0.3">
      <c r="A8" s="8" t="s">
        <v>15</v>
      </c>
      <c r="B8" s="15">
        <v>2531</v>
      </c>
      <c r="C8" s="15">
        <v>2917</v>
      </c>
      <c r="D8" s="15">
        <v>3264</v>
      </c>
      <c r="E8" s="15">
        <v>3468</v>
      </c>
      <c r="F8" s="15">
        <v>3640</v>
      </c>
      <c r="G8" s="15">
        <f>'P&amp;L '!G23</f>
        <v>4103.6176555358052</v>
      </c>
      <c r="H8" s="15">
        <f>'P&amp;L '!H23</f>
        <v>4512.874347978578</v>
      </c>
      <c r="J8" s="46" t="s">
        <v>263</v>
      </c>
      <c r="K8" s="46"/>
      <c r="L8" s="46"/>
      <c r="M8" s="46"/>
      <c r="N8" s="46"/>
      <c r="O8" s="46"/>
      <c r="P8" s="46"/>
    </row>
    <row r="9" spans="1:16" ht="15.6" x14ac:dyDescent="0.3">
      <c r="A9" s="8" t="s">
        <v>125</v>
      </c>
      <c r="B9" s="15">
        <v>0</v>
      </c>
      <c r="C9" s="15">
        <v>0</v>
      </c>
      <c r="D9" s="15">
        <v>0</v>
      </c>
      <c r="E9" s="15">
        <v>0</v>
      </c>
      <c r="F9" s="15">
        <v>56</v>
      </c>
      <c r="G9" s="15">
        <f>'P&amp;L '!G25</f>
        <v>-1040.5552216030874</v>
      </c>
      <c r="H9" s="15">
        <f>'P&amp;L '!H25</f>
        <v>27704.822289765776</v>
      </c>
      <c r="J9" s="46" t="s">
        <v>264</v>
      </c>
      <c r="K9" s="46"/>
      <c r="L9" s="46"/>
      <c r="M9" s="46"/>
      <c r="N9" s="46"/>
      <c r="O9" s="46"/>
      <c r="P9" s="46"/>
    </row>
    <row r="10" spans="1:16" ht="15.6" x14ac:dyDescent="0.3">
      <c r="A10" s="8" t="s">
        <v>79</v>
      </c>
      <c r="B10" s="15">
        <v>386</v>
      </c>
      <c r="C10" s="15">
        <v>290</v>
      </c>
      <c r="D10" s="15">
        <v>333</v>
      </c>
      <c r="E10" s="15">
        <v>955</v>
      </c>
      <c r="F10" s="15">
        <v>1095</v>
      </c>
      <c r="G10" s="15">
        <f>'P&amp;L '!G26</f>
        <v>0</v>
      </c>
      <c r="H10" s="15">
        <f>'P&amp;L '!H26</f>
        <v>0</v>
      </c>
    </row>
    <row r="11" spans="1:16" ht="15.6" x14ac:dyDescent="0.3">
      <c r="A11" s="8" t="s">
        <v>80</v>
      </c>
      <c r="B11" s="15">
        <v>-941</v>
      </c>
      <c r="C11" s="15">
        <v>-838</v>
      </c>
      <c r="D11" s="15">
        <v>-1154</v>
      </c>
      <c r="E11" s="15">
        <v>-761</v>
      </c>
      <c r="F11" s="15">
        <v>-705</v>
      </c>
      <c r="G11" s="15">
        <f>'P&amp;L '!G27</f>
        <v>875.09541389271078</v>
      </c>
      <c r="H11" s="15">
        <f>'P&amp;L '!H27</f>
        <v>919.31696847721605</v>
      </c>
    </row>
    <row r="12" spans="1:16" ht="15.6" x14ac:dyDescent="0.3">
      <c r="A12" s="8" t="s">
        <v>81</v>
      </c>
      <c r="B12" s="15">
        <v>-120</v>
      </c>
      <c r="C12" s="15">
        <v>-135</v>
      </c>
      <c r="D12" s="15">
        <v>-157</v>
      </c>
      <c r="E12" s="15">
        <v>-179</v>
      </c>
      <c r="F12" s="15">
        <v>-176</v>
      </c>
      <c r="G12" s="15">
        <f>'P&amp;L '!G29</f>
        <v>-1915.6506354957983</v>
      </c>
      <c r="H12" s="15">
        <f>'P&amp;L '!H29</f>
        <v>26785.505321288561</v>
      </c>
    </row>
    <row r="13" spans="1:16" ht="15.6" x14ac:dyDescent="0.3">
      <c r="A13" s="8" t="s">
        <v>122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f>'P&amp;L '!G30</f>
        <v>0</v>
      </c>
      <c r="H13" s="15">
        <f>'P&amp;L '!H30</f>
        <v>0</v>
      </c>
    </row>
    <row r="14" spans="1:16" ht="15.6" x14ac:dyDescent="0.3">
      <c r="A14" s="8" t="s">
        <v>116</v>
      </c>
      <c r="B14" s="15">
        <v>0</v>
      </c>
      <c r="C14" s="15">
        <v>0</v>
      </c>
      <c r="D14" s="15">
        <v>28</v>
      </c>
      <c r="E14" s="15">
        <v>0</v>
      </c>
      <c r="F14" s="15">
        <v>0</v>
      </c>
      <c r="G14" s="15">
        <f>'P&amp;L '!G31</f>
        <v>-408.71608433295648</v>
      </c>
      <c r="H14" s="15">
        <f>'P&amp;L '!H31</f>
        <v>6194.0926352265005</v>
      </c>
    </row>
    <row r="15" spans="1:16" ht="15.6" x14ac:dyDescent="0.3">
      <c r="A15" s="8" t="s">
        <v>117</v>
      </c>
      <c r="B15" s="15">
        <v>0</v>
      </c>
      <c r="C15" s="15">
        <v>28</v>
      </c>
      <c r="D15" s="15">
        <v>16</v>
      </c>
      <c r="E15" s="15">
        <v>-64</v>
      </c>
      <c r="F15" s="15">
        <v>0</v>
      </c>
      <c r="G15" s="15">
        <f>'P&amp;L '!G32</f>
        <v>0.21335627528303189</v>
      </c>
      <c r="H15" s="15">
        <f>'P&amp;L '!H32</f>
        <v>0.23124792909184225</v>
      </c>
    </row>
    <row r="16" spans="1:16" ht="15.6" x14ac:dyDescent="0.3">
      <c r="A16" s="8" t="s">
        <v>123</v>
      </c>
      <c r="B16" s="15">
        <v>0</v>
      </c>
      <c r="C16" s="15">
        <v>0</v>
      </c>
      <c r="D16" s="15">
        <v>0</v>
      </c>
      <c r="E16" s="15">
        <v>-13</v>
      </c>
      <c r="F16" s="15">
        <v>43</v>
      </c>
      <c r="G16" s="15">
        <f>'P&amp;L '!G33</f>
        <v>0</v>
      </c>
      <c r="H16" s="15">
        <f>'P&amp;L '!H33</f>
        <v>0</v>
      </c>
    </row>
    <row r="17" spans="1:8" ht="15.6" x14ac:dyDescent="0.3">
      <c r="A17" s="8" t="s">
        <v>82</v>
      </c>
      <c r="B17" s="15">
        <v>-400</v>
      </c>
      <c r="C17" s="15">
        <v>0</v>
      </c>
      <c r="D17" s="15">
        <v>0</v>
      </c>
      <c r="E17" s="15">
        <v>0</v>
      </c>
      <c r="F17" s="15">
        <v>28</v>
      </c>
      <c r="G17" s="15">
        <f>'P&amp;L '!G34</f>
        <v>-1506.9345511628417</v>
      </c>
      <c r="H17" s="15">
        <f>'P&amp;L '!H34</f>
        <v>20591.41268606206</v>
      </c>
    </row>
    <row r="18" spans="1:8" ht="15.6" x14ac:dyDescent="0.3">
      <c r="A18" s="8" t="s">
        <v>83</v>
      </c>
      <c r="B18" s="15">
        <v>-42</v>
      </c>
      <c r="C18" s="15">
        <v>-11</v>
      </c>
      <c r="D18" s="15">
        <v>9</v>
      </c>
      <c r="E18" s="15">
        <v>20</v>
      </c>
      <c r="F18" s="15">
        <v>9</v>
      </c>
      <c r="G18" s="15">
        <f>'P&amp;L '!G35</f>
        <v>0</v>
      </c>
      <c r="H18" s="15">
        <f>'P&amp;L '!H35</f>
        <v>0</v>
      </c>
    </row>
    <row r="19" spans="1:8" ht="15.6" x14ac:dyDescent="0.3">
      <c r="A19" s="8" t="s">
        <v>84</v>
      </c>
      <c r="B19" s="15">
        <v>-304</v>
      </c>
      <c r="C19" s="15">
        <v>-205</v>
      </c>
      <c r="D19" s="15">
        <v>-32</v>
      </c>
      <c r="E19" s="15">
        <v>-37</v>
      </c>
      <c r="F19" s="15">
        <v>-63</v>
      </c>
      <c r="G19" s="15">
        <f>'P&amp;L '!G36</f>
        <v>0</v>
      </c>
      <c r="H19" s="15">
        <f>'P&amp;L '!H36</f>
        <v>0</v>
      </c>
    </row>
    <row r="20" spans="1:8" ht="15.6" x14ac:dyDescent="0.3">
      <c r="A20" s="8" t="s">
        <v>118</v>
      </c>
      <c r="B20" s="15">
        <v>0</v>
      </c>
      <c r="C20" s="15">
        <v>134</v>
      </c>
      <c r="D20" s="15">
        <v>0</v>
      </c>
      <c r="E20" s="15">
        <v>0</v>
      </c>
      <c r="F20" s="15">
        <v>0</v>
      </c>
      <c r="G20" s="15">
        <f>'P&amp;L '!G37</f>
        <v>0</v>
      </c>
      <c r="H20" s="15">
        <f>'P&amp;L '!H37</f>
        <v>0</v>
      </c>
    </row>
    <row r="21" spans="1:8" ht="15.6" x14ac:dyDescent="0.3">
      <c r="A21" s="8" t="s">
        <v>119</v>
      </c>
      <c r="B21" s="15">
        <v>0</v>
      </c>
      <c r="C21" s="15">
        <v>0</v>
      </c>
      <c r="D21" s="15">
        <v>117</v>
      </c>
      <c r="E21" s="15">
        <v>0</v>
      </c>
      <c r="F21" s="15">
        <v>0</v>
      </c>
      <c r="G21" s="15">
        <f>'P&amp;L '!G38</f>
        <v>357.56552397668287</v>
      </c>
      <c r="H21" s="15">
        <f>'P&amp;L '!H38</f>
        <v>5892.9968119088398</v>
      </c>
    </row>
    <row r="22" spans="1:8" ht="15.6" x14ac:dyDescent="0.3">
      <c r="A22" s="41" t="s">
        <v>85</v>
      </c>
      <c r="B22" s="40">
        <f>B6+B8+B10+B11+B12+B17+B18+B19</f>
        <v>11684</v>
      </c>
      <c r="C22" s="40">
        <f t="shared" ref="C22:H22" si="0">C6+C8+C10+C11+C12+C17+C18+C19</f>
        <v>16118</v>
      </c>
      <c r="D22" s="40">
        <f t="shared" si="0"/>
        <v>17551</v>
      </c>
      <c r="E22" s="40">
        <f t="shared" si="0"/>
        <v>13773</v>
      </c>
      <c r="F22" s="40">
        <f t="shared" si="0"/>
        <v>17381</v>
      </c>
      <c r="G22" s="40">
        <f t="shared" si="0"/>
        <v>-359.52275272592215</v>
      </c>
      <c r="H22" s="40">
        <f t="shared" si="0"/>
        <v>79594.614645094975</v>
      </c>
    </row>
    <row r="23" spans="1:8" ht="15.6" x14ac:dyDescent="0.3">
      <c r="A23" s="8"/>
      <c r="B23" s="8"/>
      <c r="C23" s="8"/>
      <c r="D23" s="8"/>
      <c r="E23" s="8"/>
      <c r="F23" s="8"/>
      <c r="G23" s="8"/>
      <c r="H23" s="8"/>
    </row>
    <row r="24" spans="1:8" ht="15.6" x14ac:dyDescent="0.3">
      <c r="A24" s="9" t="s">
        <v>86</v>
      </c>
      <c r="B24" s="8"/>
      <c r="C24" s="8"/>
      <c r="D24" s="8"/>
      <c r="E24" s="8"/>
      <c r="F24" s="8"/>
      <c r="G24" s="8"/>
      <c r="H24" s="8"/>
    </row>
    <row r="25" spans="1:8" ht="15.6" x14ac:dyDescent="0.3">
      <c r="A25" s="8" t="s">
        <v>87</v>
      </c>
      <c r="B25" s="15">
        <v>411</v>
      </c>
      <c r="C25" s="15">
        <v>-528</v>
      </c>
      <c r="D25" s="15">
        <v>91</v>
      </c>
      <c r="E25" s="15">
        <v>-64</v>
      </c>
      <c r="F25" s="15">
        <v>37</v>
      </c>
      <c r="G25" s="15">
        <f>'Balance sheet'!F21-'Balance sheet'!G21</f>
        <v>1643.108070416386</v>
      </c>
      <c r="H25" s="15">
        <f>'Balance sheet'!G21-'Balance sheet'!H21</f>
        <v>-3674.112651637462</v>
      </c>
    </row>
    <row r="26" spans="1:8" ht="15.6" x14ac:dyDescent="0.3">
      <c r="A26" s="8" t="s">
        <v>88</v>
      </c>
      <c r="B26" s="15">
        <v>-26</v>
      </c>
      <c r="C26" s="15">
        <v>-310</v>
      </c>
      <c r="D26" s="15">
        <v>336</v>
      </c>
      <c r="E26" s="15">
        <v>225</v>
      </c>
      <c r="F26" s="15">
        <v>38</v>
      </c>
      <c r="G26" s="15">
        <f>'Balance sheet'!F25-'Balance sheet'!G25</f>
        <v>67.253471022827938</v>
      </c>
      <c r="H26" s="15">
        <f>'Balance sheet'!G25-'Balance sheet'!H25</f>
        <v>-676.63643808500558</v>
      </c>
    </row>
    <row r="27" spans="1:8" ht="15.6" x14ac:dyDescent="0.3">
      <c r="A27" s="8" t="s">
        <v>89</v>
      </c>
      <c r="B27" s="15">
        <v>-52</v>
      </c>
      <c r="C27" s="15">
        <v>-94</v>
      </c>
      <c r="D27" s="15">
        <v>42</v>
      </c>
      <c r="E27" s="15">
        <v>-66</v>
      </c>
      <c r="F27" s="15">
        <v>212</v>
      </c>
      <c r="G27" s="15">
        <f>'Balance sheet'!F28-'Balance sheet'!G28+'Balance sheet'!F30-'Balance sheet'!G30+'Balance sheet'!F31-'Balance sheet'!G31+'Balance sheet'!F32-'Balance sheet'!G32</f>
        <v>0</v>
      </c>
      <c r="H27" s="15">
        <f>'Balance sheet'!G28-'Balance sheet'!H28+'Balance sheet'!G30-'Balance sheet'!H30+'Balance sheet'!G31-'Balance sheet'!H31+'Balance sheet'!G32-'Balance sheet'!H32</f>
        <v>0</v>
      </c>
    </row>
    <row r="28" spans="1:8" ht="15.6" x14ac:dyDescent="0.3">
      <c r="A28" s="8" t="s">
        <v>90</v>
      </c>
      <c r="B28" s="15">
        <v>12</v>
      </c>
      <c r="C28" s="15">
        <v>4</v>
      </c>
      <c r="D28" s="15">
        <v>-57</v>
      </c>
      <c r="E28" s="15">
        <v>-3</v>
      </c>
      <c r="F28" s="15">
        <v>-91</v>
      </c>
      <c r="G28" s="15">
        <f>'Balance sheet'!F10-'Balance sheet'!G10+'Balance sheet'!F14-'Balance sheet'!G14+'Balance sheet'!F15-'Balance sheet'!G15+'Balance sheet'!G16-'Balance sheet'!F16+'Balance sheet'!F17-'Balance sheet'!G17</f>
        <v>0</v>
      </c>
      <c r="H28" s="15">
        <f>'Balance sheet'!G10-'Balance sheet'!H10+'Balance sheet'!G14-'Balance sheet'!H14+'Balance sheet'!G15-'Balance sheet'!H15+'Balance sheet'!H16-'Balance sheet'!G16+'Balance sheet'!G17-'Balance sheet'!H17</f>
        <v>0</v>
      </c>
    </row>
    <row r="29" spans="1:8" ht="15.6" x14ac:dyDescent="0.3">
      <c r="A29" s="8" t="s">
        <v>91</v>
      </c>
      <c r="B29" s="15">
        <v>58</v>
      </c>
      <c r="C29" s="15">
        <v>773</v>
      </c>
      <c r="D29" s="15">
        <v>77</v>
      </c>
      <c r="E29" s="15">
        <v>109</v>
      </c>
      <c r="F29" s="15">
        <v>269</v>
      </c>
      <c r="G29" s="15">
        <f>'Balance sheet'!G59-'Balance sheet'!F59+'Balance sheet'!G61-'Balance sheet'!F61</f>
        <v>-1933.6516491396787</v>
      </c>
      <c r="H29" s="15">
        <f>'Balance sheet'!H59-'Balance sheet'!G59+'Balance sheet'!H61-'Balance sheet'!G61</f>
        <v>4047.1959566295554</v>
      </c>
    </row>
    <row r="30" spans="1:8" ht="15.6" x14ac:dyDescent="0.3">
      <c r="A30" s="8" t="s">
        <v>92</v>
      </c>
      <c r="B30" s="15">
        <v>235</v>
      </c>
      <c r="C30" s="15">
        <v>-1043</v>
      </c>
      <c r="D30" s="15">
        <v>68</v>
      </c>
      <c r="E30" s="15">
        <v>1206</v>
      </c>
      <c r="F30" s="15">
        <v>-400</v>
      </c>
      <c r="G30" s="15">
        <f>'Balance sheet'!G60-'Balance sheet'!F60+'Balance sheet'!G62-'Balance sheet'!F62</f>
        <v>-3.7777257753166121E-3</v>
      </c>
      <c r="H30" s="15">
        <f>'Balance sheet'!H60-'Balance sheet'!G60+'Balance sheet'!H62-'Balance sheet'!G62</f>
        <v>-4.7839202986887583E-3</v>
      </c>
    </row>
    <row r="31" spans="1:8" ht="15.6" x14ac:dyDescent="0.3">
      <c r="A31" s="8" t="s">
        <v>93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f>'Balance sheet'!G61-'Balance sheet'!F61+'Balance sheet'!G63-'Balance sheet'!F63</f>
        <v>56.680782315695296</v>
      </c>
      <c r="H31" s="15">
        <f>'Balance sheet'!H61-'Balance sheet'!G61+'Balance sheet'!H63-'Balance sheet'!G63</f>
        <v>127.10775823785366</v>
      </c>
    </row>
    <row r="32" spans="1:8" ht="15.6" x14ac:dyDescent="0.3">
      <c r="A32" s="41" t="s">
        <v>94</v>
      </c>
      <c r="B32" s="40">
        <f>B22+B25+B26+B27+B28+B29+B30+B31</f>
        <v>12322</v>
      </c>
      <c r="C32" s="40">
        <f t="shared" ref="C32:H32" si="1">C22+C25+C26+C27+C28+C29+C30+C31</f>
        <v>14920</v>
      </c>
      <c r="D32" s="40">
        <f t="shared" si="1"/>
        <v>18108</v>
      </c>
      <c r="E32" s="40">
        <f t="shared" si="1"/>
        <v>15180</v>
      </c>
      <c r="F32" s="40">
        <f t="shared" si="1"/>
        <v>17446</v>
      </c>
      <c r="G32" s="40">
        <f t="shared" si="1"/>
        <v>-526.13585583646704</v>
      </c>
      <c r="H32" s="40">
        <f t="shared" si="1"/>
        <v>79418.164486319612</v>
      </c>
    </row>
    <row r="33" spans="1:18" ht="15.6" x14ac:dyDescent="0.3">
      <c r="A33" s="8" t="s">
        <v>95</v>
      </c>
      <c r="B33" s="15">
        <v>1755</v>
      </c>
      <c r="C33" s="15">
        <v>-2391</v>
      </c>
      <c r="D33" s="15">
        <v>-3140</v>
      </c>
      <c r="E33" s="15">
        <v>-1757</v>
      </c>
      <c r="F33" s="15">
        <v>-3385</v>
      </c>
      <c r="G33" s="15">
        <f>'P&amp;L '!G31</f>
        <v>-408.71608433295648</v>
      </c>
      <c r="H33" s="15">
        <f>'P&amp;L '!H31</f>
        <v>6194.0926352265005</v>
      </c>
    </row>
    <row r="34" spans="1:18" ht="15.6" x14ac:dyDescent="0.3">
      <c r="A34" s="41" t="s">
        <v>96</v>
      </c>
      <c r="B34" s="40">
        <f>B32-B33</f>
        <v>10567</v>
      </c>
      <c r="C34" s="40">
        <f t="shared" ref="C34:H34" si="2">C32-C33</f>
        <v>17311</v>
      </c>
      <c r="D34" s="40">
        <f t="shared" si="2"/>
        <v>21248</v>
      </c>
      <c r="E34" s="40">
        <f t="shared" si="2"/>
        <v>16937</v>
      </c>
      <c r="F34" s="40">
        <f t="shared" si="2"/>
        <v>20831</v>
      </c>
      <c r="G34" s="40">
        <f t="shared" si="2"/>
        <v>-117.41977150351056</v>
      </c>
      <c r="H34" s="40">
        <f t="shared" si="2"/>
        <v>73224.071851093118</v>
      </c>
    </row>
    <row r="35" spans="1:18" ht="15.6" x14ac:dyDescent="0.3">
      <c r="A35" s="8"/>
      <c r="B35" s="8"/>
      <c r="C35" s="8"/>
      <c r="D35" s="8"/>
      <c r="E35" s="8"/>
      <c r="F35" s="8"/>
      <c r="G35" s="8"/>
      <c r="H35" s="8"/>
    </row>
    <row r="36" spans="1:18" ht="15.6" x14ac:dyDescent="0.3">
      <c r="A36" s="9" t="s">
        <v>97</v>
      </c>
      <c r="B36" s="8"/>
      <c r="C36" s="8"/>
      <c r="D36" s="8"/>
      <c r="E36" s="8"/>
      <c r="F36" s="8"/>
      <c r="G36" s="8"/>
      <c r="H36" s="8"/>
      <c r="J36" s="46" t="s">
        <v>265</v>
      </c>
      <c r="K36" s="46"/>
      <c r="L36" s="46"/>
      <c r="M36" s="46"/>
      <c r="N36" s="46"/>
      <c r="O36" s="46"/>
      <c r="P36" s="46"/>
    </row>
    <row r="37" spans="1:18" ht="15.6" x14ac:dyDescent="0.3">
      <c r="A37" s="8" t="s">
        <v>98</v>
      </c>
      <c r="B37" s="15">
        <v>-2481</v>
      </c>
      <c r="C37" s="15">
        <v>-2998</v>
      </c>
      <c r="D37" s="15">
        <v>-3561</v>
      </c>
      <c r="E37" s="15">
        <v>-3866</v>
      </c>
      <c r="F37" s="15">
        <v>-4006</v>
      </c>
      <c r="G37" s="15">
        <f>'Capex model'!F6-'Capex model'!G6</f>
        <v>-4276.6136792690522</v>
      </c>
      <c r="H37" s="15">
        <f>'Capex model'!G6-'Capex model'!H6</f>
        <v>-4598.6720695366312</v>
      </c>
      <c r="J37" s="46" t="s">
        <v>266</v>
      </c>
      <c r="K37" s="46"/>
      <c r="L37" s="46"/>
      <c r="M37" s="46"/>
      <c r="N37" s="46"/>
      <c r="O37" s="46"/>
      <c r="P37" s="46"/>
    </row>
    <row r="38" spans="1:18" ht="15.6" x14ac:dyDescent="0.3">
      <c r="A38" s="8" t="s">
        <v>99</v>
      </c>
      <c r="B38" s="15">
        <v>1507</v>
      </c>
      <c r="C38" s="15">
        <v>936</v>
      </c>
      <c r="D38" s="15">
        <v>1438</v>
      </c>
      <c r="E38" s="15">
        <v>538</v>
      </c>
      <c r="F38" s="15">
        <v>663</v>
      </c>
      <c r="G38" s="15">
        <f>'Capex model'!F7-'Capex model'!G7</f>
        <v>-9.6527017547753946E-4</v>
      </c>
      <c r="H38" s="15">
        <f>'Capex model'!G7-'Capex model'!H7</f>
        <v>1.5875430969252979E-3</v>
      </c>
      <c r="J38" s="46" t="s">
        <v>267</v>
      </c>
      <c r="K38" s="46"/>
      <c r="L38" s="46"/>
      <c r="M38" s="46"/>
      <c r="N38" s="46"/>
      <c r="O38" s="46"/>
      <c r="P38" s="46"/>
    </row>
    <row r="39" spans="1:18" ht="15.6" x14ac:dyDescent="0.3">
      <c r="A39" s="8" t="s">
        <v>100</v>
      </c>
      <c r="B39" s="15">
        <v>-9952</v>
      </c>
      <c r="C39" s="15">
        <v>-5500</v>
      </c>
      <c r="D39" s="15">
        <v>-1500</v>
      </c>
      <c r="E39" s="15">
        <v>4</v>
      </c>
      <c r="F39" s="15">
        <v>-984</v>
      </c>
      <c r="G39" s="15">
        <f>'Capex model'!F8-'Capex model'!G8</f>
        <v>-4103.6176555358034</v>
      </c>
      <c r="H39" s="15">
        <f>'Capex model'!G8-'Capex model'!H8</f>
        <v>-4512.8743479785771</v>
      </c>
      <c r="J39" s="46" t="s">
        <v>268</v>
      </c>
      <c r="K39" s="46"/>
      <c r="L39" s="46"/>
      <c r="M39" s="46"/>
      <c r="N39" s="46"/>
      <c r="O39" s="46"/>
      <c r="P39" s="46"/>
    </row>
    <row r="40" spans="1:18" ht="15.6" x14ac:dyDescent="0.3">
      <c r="A40" s="8" t="s">
        <v>101</v>
      </c>
      <c r="B40" s="15">
        <v>1244</v>
      </c>
      <c r="C40" s="15">
        <v>10227</v>
      </c>
      <c r="D40" s="15">
        <v>5500</v>
      </c>
      <c r="E40" s="15">
        <v>-92</v>
      </c>
      <c r="F40" s="15">
        <v>1022</v>
      </c>
      <c r="G40" s="15">
        <f>'Capex model'!F9-'Capex model'!G9</f>
        <v>-172.99602373324888</v>
      </c>
      <c r="H40" s="15">
        <f>'Capex model'!G9-'Capex model'!H9</f>
        <v>-85.797721558054036</v>
      </c>
    </row>
    <row r="41" spans="1:18" ht="15.6" x14ac:dyDescent="0.3">
      <c r="A41" s="8" t="s">
        <v>120</v>
      </c>
      <c r="B41" s="15">
        <v>0</v>
      </c>
      <c r="C41" s="15">
        <v>0</v>
      </c>
      <c r="D41" s="15">
        <v>-105</v>
      </c>
      <c r="E41" s="15">
        <v>-306</v>
      </c>
      <c r="F41" s="15">
        <v>-230</v>
      </c>
      <c r="G41" s="15">
        <f>'Capex model'!F10-'Capex model'!G10</f>
        <v>0</v>
      </c>
      <c r="H41" s="15">
        <f>'Capex model'!G10-'Capex model'!H10</f>
        <v>0</v>
      </c>
    </row>
    <row r="42" spans="1:18" ht="15.6" x14ac:dyDescent="0.3">
      <c r="A42" s="8" t="s">
        <v>102</v>
      </c>
      <c r="B42" s="15">
        <v>-41385</v>
      </c>
      <c r="C42" s="15">
        <v>-46753</v>
      </c>
      <c r="D42" s="15">
        <v>-43187</v>
      </c>
      <c r="E42" s="15">
        <v>-23242</v>
      </c>
      <c r="F42" s="15">
        <v>-23902</v>
      </c>
      <c r="G42" s="15">
        <f>'Capex model'!F11-'Capex model'!G11</f>
        <v>0</v>
      </c>
      <c r="H42" s="15">
        <f>'Capex model'!G11-'Capex model'!H11</f>
        <v>0</v>
      </c>
    </row>
    <row r="43" spans="1:18" ht="15.6" x14ac:dyDescent="0.3">
      <c r="A43" s="8" t="s">
        <v>103</v>
      </c>
      <c r="B43" s="15">
        <v>48578</v>
      </c>
      <c r="C43" s="15">
        <v>44904</v>
      </c>
      <c r="D43" s="15">
        <v>47958</v>
      </c>
      <c r="E43" s="15">
        <v>23507</v>
      </c>
      <c r="F43" s="15">
        <v>24724</v>
      </c>
      <c r="G43" s="15">
        <f>'Capex model'!F12-'Capex model'!G12</f>
        <v>0</v>
      </c>
      <c r="H43" s="15">
        <f>'Capex model'!G12-'Capex model'!H12</f>
        <v>0</v>
      </c>
    </row>
    <row r="44" spans="1:18" ht="15.6" x14ac:dyDescent="0.3">
      <c r="A44" s="8" t="s">
        <v>104</v>
      </c>
      <c r="B44" s="15">
        <v>54</v>
      </c>
      <c r="C44" s="15">
        <v>30</v>
      </c>
      <c r="D44" s="15">
        <v>19</v>
      </c>
      <c r="E44" s="15">
        <v>51</v>
      </c>
      <c r="F44" s="15">
        <v>7</v>
      </c>
      <c r="G44" s="15">
        <f>'Capex model'!F13-'Capex model'!G13</f>
        <v>0</v>
      </c>
      <c r="H44" s="15">
        <f>'Capex model'!G13-'Capex model'!H13</f>
        <v>0</v>
      </c>
    </row>
    <row r="45" spans="1:18" ht="15.6" x14ac:dyDescent="0.3">
      <c r="A45" s="8" t="s">
        <v>237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f>'Balance sheet'!G9-'Balance sheet'!F9</f>
        <v>0</v>
      </c>
      <c r="H45" s="15">
        <f>'Capex model'!G14-'Capex model'!H14</f>
        <v>0</v>
      </c>
    </row>
    <row r="46" spans="1:18" ht="15.6" x14ac:dyDescent="0.3">
      <c r="A46" s="41" t="s">
        <v>105</v>
      </c>
      <c r="B46" s="40">
        <f>B37+B38+B39+B40+B42+B43+B44</f>
        <v>-2435</v>
      </c>
      <c r="C46" s="40">
        <f>C37+C38+C39+C40+C41+C42+C43+C44</f>
        <v>846</v>
      </c>
      <c r="D46" s="40">
        <f>D37+D38+D39+D40+D41+D42+D43+D44</f>
        <v>6562</v>
      </c>
      <c r="E46" s="40">
        <f>E37+E38+E39+E40+E41+E42+E43+E44</f>
        <v>-3406</v>
      </c>
      <c r="F46" s="40">
        <f>F37+F38+F39+F40+F41+F42+F43+F44</f>
        <v>-2706</v>
      </c>
      <c r="G46" s="40">
        <f t="shared" ref="G46:H46" si="3">G37+G38+G39+G40+G41+G42+G43+G44</f>
        <v>-8553.22832380828</v>
      </c>
      <c r="H46" s="40">
        <f t="shared" si="3"/>
        <v>-9197.3425515301642</v>
      </c>
    </row>
    <row r="47" spans="1:18" ht="15.6" x14ac:dyDescent="0.3">
      <c r="A47" s="8"/>
      <c r="B47" s="8"/>
      <c r="C47" s="8"/>
      <c r="D47" s="8"/>
      <c r="E47" s="8"/>
      <c r="F47" s="8"/>
      <c r="G47" s="8"/>
      <c r="H47" s="8"/>
    </row>
    <row r="48" spans="1:18" ht="15.6" x14ac:dyDescent="0.3">
      <c r="A48" s="9" t="s">
        <v>106</v>
      </c>
      <c r="B48" s="8"/>
      <c r="C48" s="8"/>
      <c r="D48" s="8"/>
      <c r="E48" s="8"/>
      <c r="F48" s="8"/>
      <c r="G48" s="8"/>
      <c r="H48" s="8"/>
      <c r="J48" s="46" t="s">
        <v>269</v>
      </c>
      <c r="K48" s="46"/>
      <c r="L48" s="46"/>
      <c r="M48" s="46"/>
      <c r="N48" s="46"/>
      <c r="O48" s="46"/>
      <c r="P48" s="46"/>
      <c r="Q48" s="46"/>
      <c r="R48" s="46"/>
    </row>
    <row r="49" spans="1:18" ht="15.6" x14ac:dyDescent="0.3">
      <c r="A49" s="8" t="s">
        <v>107</v>
      </c>
      <c r="B49" s="15">
        <v>-244</v>
      </c>
      <c r="C49" s="15">
        <v>-332</v>
      </c>
      <c r="D49" s="15">
        <v>-287</v>
      </c>
      <c r="E49" s="15">
        <v>-1028</v>
      </c>
      <c r="F49" s="15">
        <v>-1209</v>
      </c>
      <c r="G49" s="15">
        <f ca="1">'Balance sheet'!G40-'Balance sheet'!F40+'Balance sheet'!G49-'Balance sheet'!F49</f>
        <v>-1506.9345511628417</v>
      </c>
      <c r="H49" s="15">
        <f ca="1">'Balance sheet'!H40-'Balance sheet'!G40+'Balance sheet'!H49-'Balance sheet'!G49</f>
        <v>20528.643028533887</v>
      </c>
      <c r="J49" s="46" t="s">
        <v>270</v>
      </c>
      <c r="K49" s="46"/>
      <c r="L49" s="46"/>
      <c r="M49" s="46"/>
      <c r="N49" s="46"/>
      <c r="O49" s="46"/>
      <c r="P49" s="46"/>
      <c r="Q49" s="46"/>
      <c r="R49" s="46"/>
    </row>
    <row r="50" spans="1:18" ht="15.6" x14ac:dyDescent="0.3">
      <c r="A50" s="8" t="s">
        <v>108</v>
      </c>
      <c r="B50" s="15">
        <v>13473</v>
      </c>
      <c r="C50" s="15">
        <v>9</v>
      </c>
      <c r="D50" s="15">
        <v>13458</v>
      </c>
      <c r="E50" s="15">
        <v>6620</v>
      </c>
      <c r="F50" s="15">
        <v>9965</v>
      </c>
      <c r="G50" s="15">
        <f>'Balance sheet'!G41-'Balance sheet'!F41+'Balance sheet'!G50-'Balance sheet'!F50</f>
        <v>0</v>
      </c>
      <c r="H50" s="15">
        <f>'Balance sheet'!H41-'Balance sheet'!G41+'Balance sheet'!H50-'Balance sheet'!G50</f>
        <v>0</v>
      </c>
      <c r="J50" s="46" t="s">
        <v>271</v>
      </c>
      <c r="K50" s="46"/>
      <c r="L50" s="46"/>
      <c r="M50" s="46"/>
      <c r="N50" s="46"/>
      <c r="O50" s="46"/>
      <c r="P50" s="46"/>
      <c r="Q50" s="46"/>
      <c r="R50" s="46"/>
    </row>
    <row r="51" spans="1:18" ht="15.6" x14ac:dyDescent="0.3">
      <c r="A51" s="8" t="s">
        <v>109</v>
      </c>
      <c r="B51" s="15">
        <v>-11965</v>
      </c>
      <c r="C51" s="15">
        <v>-2120</v>
      </c>
      <c r="D51" s="15">
        <v>-5276</v>
      </c>
      <c r="E51" s="15">
        <v>-13307</v>
      </c>
      <c r="F51" s="15">
        <v>-9536</v>
      </c>
      <c r="G51" s="15">
        <f>'Balance sheet'!G42-'Balance sheet'!F42+'Balance sheet'!G51-'Balance sheet'!F51</f>
        <v>0</v>
      </c>
      <c r="H51" s="15">
        <f>'Balance sheet'!H42-'Balance sheet'!G42+'Balance sheet'!H51-'Balance sheet'!G51</f>
        <v>0</v>
      </c>
      <c r="J51" s="46" t="s">
        <v>272</v>
      </c>
      <c r="K51" s="46"/>
      <c r="L51" s="46"/>
      <c r="M51" s="46"/>
      <c r="N51" s="46"/>
      <c r="O51" s="46"/>
      <c r="P51" s="46"/>
      <c r="Q51" s="46"/>
      <c r="R51" s="46"/>
    </row>
    <row r="52" spans="1:18" ht="15.6" x14ac:dyDescent="0.3">
      <c r="A52" s="8" t="s">
        <v>124</v>
      </c>
      <c r="B52" s="15">
        <v>0</v>
      </c>
      <c r="C52" s="15">
        <v>0</v>
      </c>
      <c r="D52" s="15">
        <v>0</v>
      </c>
      <c r="E52" s="15">
        <v>8</v>
      </c>
      <c r="F52" s="15">
        <v>-8</v>
      </c>
      <c r="G52" s="15">
        <f>'Balance sheet'!G43-'Balance sheet'!F43+'Balance sheet'!G52-'Balance sheet'!F52</f>
        <v>0</v>
      </c>
      <c r="H52" s="15">
        <f>'Balance sheet'!H43-'Balance sheet'!G43+'Balance sheet'!H52-'Balance sheet'!G52</f>
        <v>0</v>
      </c>
    </row>
    <row r="53" spans="1:18" ht="15.6" x14ac:dyDescent="0.3">
      <c r="A53" s="8" t="s">
        <v>110</v>
      </c>
      <c r="B53" s="15">
        <v>5016</v>
      </c>
      <c r="C53" s="15">
        <v>0</v>
      </c>
      <c r="D53" s="15">
        <v>1500</v>
      </c>
      <c r="E53" s="15">
        <v>5442</v>
      </c>
      <c r="F53" s="15">
        <v>4547</v>
      </c>
      <c r="G53" s="15">
        <f>'Balance sheet'!G44-'Balance sheet'!F44+'Balance sheet'!G53-'Balance sheet'!F53</f>
        <v>0</v>
      </c>
      <c r="H53" s="15">
        <f>'Balance sheet'!H44-'Balance sheet'!G44+'Balance sheet'!H53-'Balance sheet'!G53</f>
        <v>0</v>
      </c>
    </row>
    <row r="54" spans="1:18" ht="15.6" x14ac:dyDescent="0.3">
      <c r="A54" s="8" t="s">
        <v>121</v>
      </c>
      <c r="B54" s="15">
        <v>0</v>
      </c>
      <c r="C54" s="15">
        <v>-2204</v>
      </c>
      <c r="D54" s="15">
        <v>-704</v>
      </c>
      <c r="E54" s="15">
        <v>-2112</v>
      </c>
      <c r="F54" s="15">
        <v>-2783</v>
      </c>
      <c r="G54" s="15">
        <f>'Balance sheet'!G45-'Balance sheet'!F45+'Balance sheet'!G54-'Balance sheet'!F54</f>
        <v>0</v>
      </c>
      <c r="H54" s="15">
        <f>'Balance sheet'!H45-'Balance sheet'!G45+'Balance sheet'!H54-'Balance sheet'!G54</f>
        <v>0</v>
      </c>
    </row>
    <row r="55" spans="1:18" ht="15.6" x14ac:dyDescent="0.3">
      <c r="A55" s="8" t="s">
        <v>111</v>
      </c>
      <c r="B55" s="15">
        <v>-5</v>
      </c>
      <c r="C55" s="15">
        <v>-5</v>
      </c>
      <c r="D55" s="15">
        <v>-14</v>
      </c>
      <c r="E55" s="15">
        <v>-76</v>
      </c>
      <c r="F55" s="15">
        <v>-106</v>
      </c>
      <c r="G55" s="15">
        <f>'Balance sheet'!G46-'Balance sheet'!F46+'Balance sheet'!G55-'Balance sheet'!F55</f>
        <v>0</v>
      </c>
      <c r="H55" s="15">
        <f>'Balance sheet'!H46-'Balance sheet'!G46+'Balance sheet'!H55-'Balance sheet'!G55</f>
        <v>0</v>
      </c>
    </row>
    <row r="56" spans="1:18" ht="15.6" x14ac:dyDescent="0.3">
      <c r="A56" s="8" t="s">
        <v>126</v>
      </c>
      <c r="B56" s="15">
        <v>0</v>
      </c>
      <c r="C56" s="15">
        <v>0</v>
      </c>
      <c r="D56" s="15">
        <v>0</v>
      </c>
      <c r="E56" s="15">
        <v>0</v>
      </c>
      <c r="F56" s="15">
        <v>-12253</v>
      </c>
      <c r="G56" s="15">
        <f>'Balance sheet'!G47-'Balance sheet'!F47+'Balance sheet'!G56-'Balance sheet'!F56</f>
        <v>0</v>
      </c>
      <c r="H56" s="15">
        <f>'Balance sheet'!H47-'Balance sheet'!G47+'Balance sheet'!H56-'Balance sheet'!G56</f>
        <v>0</v>
      </c>
    </row>
    <row r="57" spans="1:18" ht="15.6" x14ac:dyDescent="0.3">
      <c r="A57" s="8" t="s">
        <v>239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f>'Balance sheet'!F13-'Balance sheet'!G13+'Balance sheet'!F29-'Balance sheet'!G29</f>
        <v>0</v>
      </c>
      <c r="H57" s="15">
        <f>'Balance sheet'!G13-'Balance sheet'!H13+'Balance sheet'!G29-'Balance sheet'!H29</f>
        <v>0</v>
      </c>
    </row>
    <row r="58" spans="1:18" ht="15.6" x14ac:dyDescent="0.3">
      <c r="A58" s="8" t="s">
        <v>112</v>
      </c>
      <c r="B58" s="15">
        <v>-15972</v>
      </c>
      <c r="C58" s="15">
        <v>-7606</v>
      </c>
      <c r="D58" s="15">
        <v>-31901</v>
      </c>
      <c r="E58" s="15">
        <v>-5493</v>
      </c>
      <c r="F58" s="15">
        <v>-28</v>
      </c>
      <c r="G58" s="15">
        <f ca="1">-'Ratio Analysis'!H8</f>
        <v>0</v>
      </c>
      <c r="H58" s="15">
        <f ca="1">-'Ratio Analysis'!I8</f>
        <v>-62.769657528172473</v>
      </c>
    </row>
    <row r="59" spans="1:18" ht="15.6" x14ac:dyDescent="0.3">
      <c r="A59" s="8" t="s">
        <v>240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f>'Balance sheet'!G45-'Balance sheet'!F45+'Balance sheet'!G56-'Balance sheet'!F56</f>
        <v>0</v>
      </c>
      <c r="H59" s="15">
        <f>'Balance sheet'!H45-'Balance sheet'!G45+'Balance sheet'!H56-'Balance sheet'!G56</f>
        <v>0</v>
      </c>
    </row>
    <row r="60" spans="1:18" ht="15.6" x14ac:dyDescent="0.3">
      <c r="A60" s="8" t="s">
        <v>33</v>
      </c>
      <c r="B60" s="15">
        <v>0</v>
      </c>
      <c r="C60" s="15">
        <v>0</v>
      </c>
      <c r="D60" s="15">
        <f>'Balance sheet'!D38-'Balance sheet'!C38</f>
        <v>0</v>
      </c>
      <c r="E60" s="15">
        <f>'Balance sheet'!E38-'Balance sheet'!D38</f>
        <v>0</v>
      </c>
      <c r="F60" s="15">
        <f>'Balance sheet'!F38-'Balance sheet'!E38</f>
        <v>0</v>
      </c>
      <c r="G60" s="15">
        <f>'Balance sheet'!G38-'Balance sheet'!F38</f>
        <v>0</v>
      </c>
      <c r="H60" s="15">
        <f>'Balance sheet'!H38-'Balance sheet'!G38</f>
        <v>0</v>
      </c>
    </row>
    <row r="61" spans="1:18" ht="15.6" x14ac:dyDescent="0.3">
      <c r="A61" s="41" t="s">
        <v>113</v>
      </c>
      <c r="B61" s="40">
        <f>B49+B50+B51+B53+B55+B58</f>
        <v>-9697</v>
      </c>
      <c r="C61" s="40">
        <f t="shared" ref="C61:H61" si="4">C49+C50+C51+C53+C55+C58</f>
        <v>-10054</v>
      </c>
      <c r="D61" s="40">
        <f t="shared" si="4"/>
        <v>-22520</v>
      </c>
      <c r="E61" s="40">
        <f t="shared" si="4"/>
        <v>-7842</v>
      </c>
      <c r="F61" s="40">
        <f t="shared" si="4"/>
        <v>3633</v>
      </c>
      <c r="G61" s="40">
        <f t="shared" ca="1" si="4"/>
        <v>-1506.9345511628417</v>
      </c>
      <c r="H61" s="40">
        <f t="shared" ca="1" si="4"/>
        <v>20465.873371005713</v>
      </c>
      <c r="J61" s="46" t="s">
        <v>273</v>
      </c>
      <c r="K61" s="46"/>
      <c r="L61" s="46"/>
      <c r="M61" s="46"/>
      <c r="N61" s="46"/>
      <c r="O61" s="46"/>
      <c r="P61" s="46"/>
      <c r="Q61" s="46"/>
    </row>
    <row r="62" spans="1:18" ht="15.6" x14ac:dyDescent="0.3">
      <c r="A62" s="8" t="s">
        <v>114</v>
      </c>
      <c r="B62" s="15">
        <v>-1565</v>
      </c>
      <c r="C62" s="15">
        <v>1279</v>
      </c>
      <c r="D62" s="15">
        <v>-1533</v>
      </c>
      <c r="E62" s="15">
        <v>-6</v>
      </c>
      <c r="F62" s="15">
        <v>43</v>
      </c>
      <c r="G62" s="15">
        <v>0</v>
      </c>
      <c r="H62" s="15">
        <v>0</v>
      </c>
      <c r="J62" s="46" t="s">
        <v>274</v>
      </c>
      <c r="K62" s="46"/>
      <c r="L62" s="46"/>
      <c r="M62" s="46"/>
      <c r="N62" s="46"/>
      <c r="O62" s="46"/>
      <c r="P62" s="46"/>
      <c r="Q62" s="46"/>
    </row>
    <row r="63" spans="1:18" ht="15.6" x14ac:dyDescent="0.3">
      <c r="A63" s="8" t="s">
        <v>115</v>
      </c>
      <c r="B63" s="15">
        <v>1878</v>
      </c>
      <c r="C63" s="15">
        <v>313</v>
      </c>
      <c r="D63" s="15">
        <v>1592</v>
      </c>
      <c r="E63" s="15">
        <v>59</v>
      </c>
      <c r="F63" s="15">
        <v>53</v>
      </c>
      <c r="G63" s="15">
        <f>F64</f>
        <v>96</v>
      </c>
      <c r="H63" s="15">
        <f>G64</f>
        <v>96</v>
      </c>
      <c r="J63" s="46" t="s">
        <v>275</v>
      </c>
      <c r="K63" s="46"/>
      <c r="L63" s="46"/>
      <c r="M63" s="46"/>
      <c r="N63" s="46"/>
      <c r="O63" s="46"/>
      <c r="P63" s="46"/>
      <c r="Q63" s="46"/>
    </row>
    <row r="64" spans="1:18" ht="15.6" x14ac:dyDescent="0.3">
      <c r="A64" s="37" t="s">
        <v>234</v>
      </c>
      <c r="B64" s="40">
        <f>B62+B63</f>
        <v>313</v>
      </c>
      <c r="C64" s="40">
        <f t="shared" ref="C64:H64" si="5">C62+C63</f>
        <v>1592</v>
      </c>
      <c r="D64" s="40">
        <f t="shared" si="5"/>
        <v>59</v>
      </c>
      <c r="E64" s="40">
        <f t="shared" si="5"/>
        <v>53</v>
      </c>
      <c r="F64" s="40">
        <f t="shared" si="5"/>
        <v>96</v>
      </c>
      <c r="G64" s="40">
        <f>G62+G63</f>
        <v>96</v>
      </c>
      <c r="H64" s="40">
        <f t="shared" si="5"/>
        <v>96</v>
      </c>
    </row>
    <row r="65" spans="1:6" ht="15.6" x14ac:dyDescent="0.3">
      <c r="A65" s="8"/>
      <c r="B65" s="8"/>
      <c r="C65" s="5"/>
      <c r="D65" s="5"/>
      <c r="E65" s="5"/>
      <c r="F65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D877-B97F-44AB-B5F7-056C61529A98}">
  <dimension ref="A3:R33"/>
  <sheetViews>
    <sheetView topLeftCell="A29" zoomScale="130" zoomScaleNormal="130" workbookViewId="0">
      <selection activeCell="A47" sqref="A47"/>
    </sheetView>
  </sheetViews>
  <sheetFormatPr defaultRowHeight="14.4" x14ac:dyDescent="0.3"/>
  <cols>
    <col min="1" max="1" width="33.88671875" bestFit="1" customWidth="1"/>
    <col min="2" max="8" width="13.5546875" bestFit="1" customWidth="1"/>
  </cols>
  <sheetData>
    <row r="3" spans="1:18" ht="17.399999999999999" x14ac:dyDescent="0.3">
      <c r="A3" s="1" t="s">
        <v>0</v>
      </c>
      <c r="B3" s="2">
        <v>44286</v>
      </c>
      <c r="C3" s="2">
        <v>44651</v>
      </c>
      <c r="D3" s="2">
        <v>45016</v>
      </c>
      <c r="E3" s="2">
        <v>45382</v>
      </c>
      <c r="F3" s="2">
        <v>45747</v>
      </c>
      <c r="G3" s="2">
        <v>46112</v>
      </c>
      <c r="H3" s="2">
        <v>46477</v>
      </c>
    </row>
    <row r="4" spans="1:18" ht="17.399999999999999" x14ac:dyDescent="0.3">
      <c r="A4" s="1" t="s">
        <v>127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</row>
    <row r="5" spans="1:18" ht="17.399999999999999" x14ac:dyDescent="0.3">
      <c r="A5" s="1" t="s">
        <v>2</v>
      </c>
      <c r="B5" s="3" t="s">
        <v>4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203</v>
      </c>
      <c r="H5" s="3" t="s">
        <v>203</v>
      </c>
    </row>
    <row r="6" spans="1:18" ht="15.6" x14ac:dyDescent="0.3">
      <c r="B6" s="8"/>
      <c r="C6" s="8"/>
      <c r="D6" s="8"/>
      <c r="E6" s="8"/>
      <c r="F6" s="8"/>
      <c r="G6" s="8"/>
      <c r="H6" s="8"/>
    </row>
    <row r="7" spans="1:18" ht="15.6" x14ac:dyDescent="0.3">
      <c r="A7" s="4" t="s">
        <v>5</v>
      </c>
      <c r="B7" s="12">
        <f>'P&amp;L '!B6/'P&amp;L '!$B$8</f>
        <v>1</v>
      </c>
      <c r="C7" s="12">
        <f>'P&amp;L '!C6/'P&amp;L '!$C$8</f>
        <v>1</v>
      </c>
      <c r="D7" s="12">
        <f>'P&amp;L '!D6/'P&amp;L '!$D$8</f>
        <v>1</v>
      </c>
      <c r="E7" s="12">
        <f>'P&amp;L '!E6/'P&amp;L '!$E$8</f>
        <v>1</v>
      </c>
      <c r="F7" s="12">
        <f>'P&amp;L '!F6/'P&amp;L '!$F$8</f>
        <v>1</v>
      </c>
      <c r="G7" s="12">
        <f>'P&amp;L '!G6/'P&amp;L '!$G$8</f>
        <v>1</v>
      </c>
      <c r="H7" s="25">
        <f>'P&amp;L '!H6/'P&amp;L '!$H$8</f>
        <v>1</v>
      </c>
      <c r="I7" s="8"/>
      <c r="J7" s="46" t="s">
        <v>276</v>
      </c>
      <c r="K7" s="46"/>
      <c r="L7" s="46"/>
      <c r="M7" s="46"/>
      <c r="N7" s="46"/>
      <c r="O7" s="46"/>
      <c r="P7" s="46"/>
      <c r="Q7" s="46"/>
      <c r="R7" s="46"/>
    </row>
    <row r="8" spans="1:18" ht="15.6" x14ac:dyDescent="0.3">
      <c r="A8" s="4" t="s">
        <v>6</v>
      </c>
      <c r="B8" s="12">
        <f>'P&amp;L '!B7/'P&amp;L '!$B$8</f>
        <v>0</v>
      </c>
      <c r="C8" s="12">
        <f>'P&amp;L '!C7/'P&amp;L '!$C$8</f>
        <v>0</v>
      </c>
      <c r="D8" s="12">
        <f>'P&amp;L '!D7/'P&amp;L '!$D$8</f>
        <v>0</v>
      </c>
      <c r="E8" s="12">
        <f>'P&amp;L '!E7/'P&amp;L '!$E$8</f>
        <v>0</v>
      </c>
      <c r="F8" s="12">
        <f>'P&amp;L '!F7/'P&amp;L '!$F$8</f>
        <v>0</v>
      </c>
      <c r="G8" s="12">
        <f>'P&amp;L '!G7/'P&amp;L '!$G$8</f>
        <v>0</v>
      </c>
      <c r="H8" s="12">
        <f>'P&amp;L '!H7/'P&amp;L '!$H$8</f>
        <v>0</v>
      </c>
      <c r="J8" s="46" t="s">
        <v>277</v>
      </c>
      <c r="K8" s="46"/>
      <c r="L8" s="46"/>
      <c r="M8" s="46"/>
      <c r="N8" s="46"/>
      <c r="O8" s="46"/>
      <c r="P8" s="46"/>
      <c r="Q8" s="46"/>
      <c r="R8" s="46"/>
    </row>
    <row r="9" spans="1:18" ht="15.6" x14ac:dyDescent="0.3">
      <c r="A9" s="41" t="s">
        <v>7</v>
      </c>
      <c r="B9" s="42">
        <f>'P&amp;L '!B8/'P&amp;L '!$B$8</f>
        <v>1</v>
      </c>
      <c r="C9" s="42">
        <f>'P&amp;L '!C8/'P&amp;L '!$C$8</f>
        <v>1</v>
      </c>
      <c r="D9" s="42">
        <f>'P&amp;L '!D8/'P&amp;L '!$D$8</f>
        <v>1</v>
      </c>
      <c r="E9" s="42">
        <f>'P&amp;L '!E8/'P&amp;L '!$E$8</f>
        <v>1</v>
      </c>
      <c r="F9" s="42">
        <f>'P&amp;L '!F8/'P&amp;L '!$F$8</f>
        <v>1</v>
      </c>
      <c r="G9" s="42">
        <f>'P&amp;L '!G8/'P&amp;L '!$G$8</f>
        <v>1</v>
      </c>
      <c r="H9" s="44">
        <f>'P&amp;L '!H8/'P&amp;L '!$H$8</f>
        <v>1</v>
      </c>
      <c r="J9" s="46" t="s">
        <v>278</v>
      </c>
      <c r="K9" s="46"/>
      <c r="L9" s="46"/>
      <c r="M9" s="46"/>
      <c r="N9" s="46"/>
      <c r="O9" s="46"/>
      <c r="P9" s="46"/>
      <c r="Q9" s="46"/>
      <c r="R9" s="46"/>
    </row>
    <row r="10" spans="1:18" ht="15.6" x14ac:dyDescent="0.3">
      <c r="A10" s="30"/>
      <c r="B10" s="12"/>
      <c r="C10" s="12"/>
      <c r="D10" s="12"/>
      <c r="E10" s="12"/>
      <c r="F10" s="12"/>
      <c r="G10" s="12"/>
      <c r="H10" s="25"/>
      <c r="J10" s="46" t="s">
        <v>279</v>
      </c>
      <c r="K10" s="46"/>
      <c r="L10" s="46"/>
      <c r="M10" s="46"/>
      <c r="N10" s="46"/>
      <c r="O10" s="46"/>
      <c r="P10" s="46"/>
      <c r="Q10" s="46"/>
      <c r="R10" s="46"/>
    </row>
    <row r="11" spans="1:18" ht="15.6" x14ac:dyDescent="0.3">
      <c r="A11" s="9" t="s">
        <v>8</v>
      </c>
      <c r="B11" s="12">
        <f>'P&amp;L '!B10/'P&amp;L '!$B$8</f>
        <v>0.21430836844728376</v>
      </c>
      <c r="C11" s="12">
        <f>'P&amp;L '!C10/'P&amp;L '!$C$8</f>
        <v>0.20288294546717611</v>
      </c>
      <c r="D11" s="12">
        <f>'P&amp;L '!D10/'P&amp;L '!$D$8</f>
        <v>0.22950228420293339</v>
      </c>
      <c r="E11" s="12">
        <f>'P&amp;L '!E10/'P&amp;L '!$E$8</f>
        <v>0.22088882558222347</v>
      </c>
      <c r="F11" s="12">
        <f>'P&amp;L '!F10/'P&amp;L '!$F$8</f>
        <v>0.20401924881208197</v>
      </c>
      <c r="G11" s="12">
        <f>'P&amp;L '!G10/'P&amp;L '!$G$8</f>
        <v>0.21432033450233975</v>
      </c>
      <c r="H11" s="25">
        <f>'P&amp;L '!H10/'P&amp;L '!$H$8</f>
        <v>0.21432272771335098</v>
      </c>
    </row>
    <row r="12" spans="1:18" ht="15.6" x14ac:dyDescent="0.3">
      <c r="A12" s="8" t="s">
        <v>20</v>
      </c>
      <c r="B12" s="12">
        <f>'P&amp;L '!B11/'P&amp;L '!$B$8</f>
        <v>7.8474015676679804E-2</v>
      </c>
      <c r="C12" s="12">
        <f>'P&amp;L '!C11/'P&amp;L '!$C$8</f>
        <v>8.5168461271274754E-2</v>
      </c>
      <c r="D12" s="12">
        <f>'P&amp;L '!D11/'P&amp;L '!$D$8</f>
        <v>0.11153522481365713</v>
      </c>
      <c r="E12" s="12">
        <f>'P&amp;L '!E11/'P&amp;L '!$E$8</f>
        <v>0.10123922797521544</v>
      </c>
      <c r="F12" s="12">
        <f>'P&amp;L '!F11/'P&amp;L '!$F$8</f>
        <v>8.1777185920522993E-2</v>
      </c>
      <c r="G12" s="12">
        <f>'P&amp;L '!G11/'P&amp;L '!$G$8</f>
        <v>9.1638823131470024E-2</v>
      </c>
      <c r="H12" s="25">
        <f>'P&amp;L '!H11/'P&amp;L '!$H$8</f>
        <v>9.4271784622428079E-2</v>
      </c>
    </row>
    <row r="13" spans="1:18" ht="15.6" x14ac:dyDescent="0.3">
      <c r="A13" s="8" t="s">
        <v>21</v>
      </c>
      <c r="B13" s="12">
        <f>'P&amp;L '!B12/'P&amp;L '!$B$8</f>
        <v>0.12500566354039236</v>
      </c>
      <c r="C13" s="12">
        <f>'P&amp;L '!C12/'P&amp;L '!$C$8</f>
        <v>0.12737061479680445</v>
      </c>
      <c r="D13" s="12">
        <f>'P&amp;L '!D12/'P&amp;L '!$D$8</f>
        <v>0.12226496754027411</v>
      </c>
      <c r="E13" s="12">
        <f>'P&amp;L '!E12/'P&amp;L '!$E$8</f>
        <v>0.12524036749519266</v>
      </c>
      <c r="F13" s="12">
        <f>'P&amp;L '!F12/'P&amp;L '!$F$8</f>
        <v>0.12417905027087559</v>
      </c>
      <c r="G13" s="12">
        <f>'P&amp;L '!G12/'P&amp;L '!$G$8</f>
        <v>0.12481213272870784</v>
      </c>
      <c r="H13" s="25">
        <f>'P&amp;L '!H12/'P&amp;L '!$H$8</f>
        <v>0.12477342656637094</v>
      </c>
    </row>
    <row r="14" spans="1:18" ht="15.6" x14ac:dyDescent="0.3">
      <c r="A14" s="8" t="s">
        <v>9</v>
      </c>
      <c r="B14" s="12">
        <f>'P&amp;L '!B13/'P&amp;L '!$B$8</f>
        <v>1.082868923021159E-2</v>
      </c>
      <c r="C14" s="12">
        <f>'P&amp;L '!C13/'P&amp;L '!$C$8</f>
        <v>-9.6561306009030918E-3</v>
      </c>
      <c r="D14" s="12">
        <f>'P&amp;L '!D13/'P&amp;L '!$D$8</f>
        <v>-4.2979081509978362E-3</v>
      </c>
      <c r="E14" s="12">
        <f>'P&amp;L '!E13/'P&amp;L '!$E$8</f>
        <v>-5.590769888184602E-3</v>
      </c>
      <c r="F14" s="12">
        <f>'P&amp;L '!F13/'P&amp;L '!$F$8</f>
        <v>-1.9369873793166066E-3</v>
      </c>
      <c r="G14" s="12">
        <f>'P&amp;L '!G13/'P&amp;L '!$G$8</f>
        <v>-2.1306213578381095E-3</v>
      </c>
      <c r="H14" s="25">
        <f>'P&amp;L '!H13/'P&amp;L '!$H$8</f>
        <v>-4.7224834754480494E-3</v>
      </c>
    </row>
    <row r="15" spans="1:18" ht="15.6" x14ac:dyDescent="0.3">
      <c r="A15" s="41" t="s">
        <v>10</v>
      </c>
      <c r="B15" s="42">
        <f>'P&amp;L '!B14/'P&amp;L '!$B$8</f>
        <v>1</v>
      </c>
      <c r="C15" s="42">
        <f>'P&amp;L '!C14/'P&amp;L '!$C$8</f>
        <v>0.79711705453282389</v>
      </c>
      <c r="D15" s="42">
        <f>'P&amp;L '!D14/'P&amp;L '!$D$8</f>
        <v>0.77049771579706661</v>
      </c>
      <c r="E15" s="42">
        <f>'P&amp;L '!E14/'P&amp;L '!$E$8</f>
        <v>0.77911117441777655</v>
      </c>
      <c r="F15" s="42">
        <f>'P&amp;L '!F14/'P&amp;L '!$F$8</f>
        <v>0.795980751187918</v>
      </c>
      <c r="G15" s="42">
        <f>'P&amp;L '!G14/'P&amp;L '!$G$8</f>
        <v>0.78567966549766022</v>
      </c>
      <c r="H15" s="42">
        <f>'P&amp;L '!H14/'P&amp;L '!$H$8</f>
        <v>0.78567727228664908</v>
      </c>
    </row>
    <row r="16" spans="1:18" ht="15.6" x14ac:dyDescent="0.3">
      <c r="A16" s="8"/>
      <c r="B16" s="12"/>
      <c r="C16" s="12"/>
      <c r="D16" s="12"/>
      <c r="E16" s="12"/>
      <c r="F16" s="12"/>
      <c r="G16" s="12"/>
      <c r="H16" s="12"/>
    </row>
    <row r="17" spans="1:8" ht="15.6" x14ac:dyDescent="0.3">
      <c r="A17" s="9" t="s">
        <v>11</v>
      </c>
      <c r="B17" s="12">
        <f>'P&amp;L '!B16/'P&amp;L '!$B$8</f>
        <v>0</v>
      </c>
      <c r="C17" s="12">
        <f>'P&amp;L '!C16/'P&amp;L '!$C$8</f>
        <v>0</v>
      </c>
      <c r="D17" s="12">
        <f>'P&amp;L '!D16/'P&amp;L '!$D$8</f>
        <v>0</v>
      </c>
      <c r="E17" s="12">
        <f>'P&amp;L '!E16/'P&amp;L '!$E$8</f>
        <v>0</v>
      </c>
      <c r="F17" s="12">
        <f>'P&amp;L '!F16/'P&amp;L '!$F$8</f>
        <v>0</v>
      </c>
      <c r="G17" s="12">
        <f>'P&amp;L '!G16/'P&amp;L '!$G$8</f>
        <v>0</v>
      </c>
      <c r="H17" s="25">
        <f>'P&amp;L '!H16/'P&amp;L '!$H$8</f>
        <v>0</v>
      </c>
    </row>
    <row r="18" spans="1:8" ht="15.6" x14ac:dyDescent="0.3">
      <c r="A18" s="8" t="s">
        <v>13</v>
      </c>
      <c r="B18" s="12">
        <f>'P&amp;L '!B17/'P&amp;L '!$B$8</f>
        <v>3.4434325585610076E-2</v>
      </c>
      <c r="C18" s="12">
        <f>'P&amp;L '!C17/'P&amp;L '!$C$8</f>
        <v>2.4939215005210142E-2</v>
      </c>
      <c r="D18" s="12">
        <f>'P&amp;L '!D17/'P&amp;L '!$D$8</f>
        <v>2.5396729983169032E-2</v>
      </c>
      <c r="E18" s="12">
        <f>'P&amp;L '!E17/'P&amp;L '!$E$8</f>
        <v>2.9485079410298411E-2</v>
      </c>
      <c r="F18" s="12">
        <f>'P&amp;L '!F17/'P&amp;L '!$F$8</f>
        <v>2.6815169032414272E-2</v>
      </c>
      <c r="G18" s="12">
        <f>'P&amp;L '!G17/'P&amp;L '!$G$8</f>
        <v>2.8214103803340385E-2</v>
      </c>
      <c r="H18" s="25">
        <f>'P&amp;L '!H17/'P&amp;L '!$H$8</f>
        <v>2.6970059446886446E-2</v>
      </c>
    </row>
    <row r="19" spans="1:8" ht="15.6" x14ac:dyDescent="0.3">
      <c r="A19" s="8" t="s">
        <v>12</v>
      </c>
      <c r="B19" s="12">
        <f>'P&amp;L '!B18/'P&amp;L '!$B$8</f>
        <v>0.24770060260069776</v>
      </c>
      <c r="C19" s="12">
        <f>'P&amp;L '!C18/'P&amp;L '!$C$8</f>
        <v>0.23119138589788121</v>
      </c>
      <c r="D19" s="12">
        <f>'P&amp;L '!D18/'P&amp;L '!$D$8</f>
        <v>0.24377855253666747</v>
      </c>
      <c r="E19" s="12">
        <f>'P&amp;L '!E18/'P&amp;L '!$E$8</f>
        <v>0.29360444412791109</v>
      </c>
      <c r="F19" s="12">
        <f>'P&amp;L '!F18/'P&amp;L '!$F$8</f>
        <v>0.27444689930692168</v>
      </c>
      <c r="G19" s="12">
        <f>'P&amp;L '!G18/'P&amp;L '!$G$8</f>
        <v>0.25814437689401581</v>
      </c>
      <c r="H19" s="25">
        <f>'P&amp;L '!H18/'P&amp;L '!$H$8</f>
        <v>0.26023313175267948</v>
      </c>
    </row>
    <row r="20" spans="1:8" ht="15.6" x14ac:dyDescent="0.3">
      <c r="A20" s="41" t="s">
        <v>14</v>
      </c>
      <c r="B20" s="42">
        <f>'P&amp;L '!B19/'P&amp;L '!$B$8</f>
        <v>0.71786507181369219</v>
      </c>
      <c r="C20" s="42">
        <f>'P&amp;L '!C19/'P&amp;L '!$C$8</f>
        <v>0.54098645362973252</v>
      </c>
      <c r="D20" s="42">
        <f>'P&amp;L '!D19/'P&amp;L '!$D$8</f>
        <v>0.50132243327723014</v>
      </c>
      <c r="E20" s="42">
        <f>'P&amp;L '!E19/'P&amp;L '!$E$8</f>
        <v>0.45602165087956698</v>
      </c>
      <c r="F20" s="42">
        <f>'P&amp;L '!F19/'P&amp;L '!$F$8</f>
        <v>0.49471868284858206</v>
      </c>
      <c r="G20" s="42">
        <f>'P&amp;L '!G19/'P&amp;L '!$G$8</f>
        <v>0.49932118480030407</v>
      </c>
      <c r="H20" s="44">
        <f>'P&amp;L '!H19/'P&amp;L '!$H$8</f>
        <v>0.49847408108708313</v>
      </c>
    </row>
    <row r="21" spans="1:8" ht="15.6" x14ac:dyDescent="0.3">
      <c r="A21" s="8"/>
      <c r="B21" s="12"/>
      <c r="C21" s="12"/>
      <c r="D21" s="12"/>
      <c r="E21" s="12"/>
      <c r="F21" s="12"/>
      <c r="G21" s="12"/>
      <c r="H21" s="12"/>
    </row>
    <row r="22" spans="1:8" ht="15.6" x14ac:dyDescent="0.3">
      <c r="A22" s="8" t="s">
        <v>16</v>
      </c>
      <c r="B22" s="12">
        <f>'P&amp;L '!B21/'P&amp;L '!$B$8</f>
        <v>8.241583978976938E-2</v>
      </c>
      <c r="C22" s="12">
        <f>'P&amp;L '!C21/'P&amp;L '!$C$8</f>
        <v>4.223688780826676E-2</v>
      </c>
      <c r="D22" s="12">
        <f>'P&amp;L '!D21/'P&amp;L '!$D$8</f>
        <v>4.1446261120461653E-2</v>
      </c>
      <c r="E22" s="12">
        <f>'P&amp;L '!E21/'P&amp;L '!$E$8</f>
        <v>3.8245139235097217E-2</v>
      </c>
      <c r="F22" s="12">
        <f>'P&amp;L '!F21/'P&amp;L '!$F$8</f>
        <v>2.9750915529191006E-2</v>
      </c>
      <c r="G22" s="12">
        <f>'P&amp;L '!G21/'P&amp;L '!$G$8</f>
        <v>0.28569699453097491</v>
      </c>
      <c r="H22" s="25">
        <f>'P&amp;L '!H21/'P&amp;L '!$H$8</f>
        <v>1.6920692642712058E-2</v>
      </c>
    </row>
    <row r="23" spans="1:8" ht="15.6" x14ac:dyDescent="0.3">
      <c r="A23" s="8" t="s">
        <v>15</v>
      </c>
      <c r="B23" s="12">
        <f>'P&amp;L '!B23/'P&amp;L '!$B$8</f>
        <v>0.11467536586470935</v>
      </c>
      <c r="C23" s="12">
        <f>'P&amp;L '!C23/'P&amp;L '!$C$8</f>
        <v>0.10121569989579715</v>
      </c>
      <c r="D23" s="12">
        <f>'P&amp;L '!D23/'P&amp;L '!$D$8</f>
        <v>9.8100504929069493E-2</v>
      </c>
      <c r="E23" s="12">
        <f>'P&amp;L '!E23/'P&amp;L '!$E$8</f>
        <v>0.12349547753009045</v>
      </c>
      <c r="F23" s="12">
        <f>'P&amp;L '!F23/'P&amp;L '!$F$8</f>
        <v>0.110166157198632</v>
      </c>
      <c r="G23" s="12">
        <f>'P&amp;L '!G22/'P&amp;L '!$G$8</f>
        <v>2.8649919226932907E-5</v>
      </c>
      <c r="H23" s="25">
        <f>'P&amp;L '!H22/'P&amp;L '!$H$8</f>
        <v>1.6968203612827977E-6</v>
      </c>
    </row>
    <row r="24" spans="1:8" ht="15.6" x14ac:dyDescent="0.3">
      <c r="A24" s="41" t="s">
        <v>17</v>
      </c>
      <c r="B24" s="42">
        <f>'P&amp;L '!B25/'P&amp;L '!$B$8</f>
        <v>0.68560554573875221</v>
      </c>
      <c r="C24" s="42">
        <f>'P&amp;L '!C25/'P&amp;L '!$C$8</f>
        <v>0.48200764154220216</v>
      </c>
      <c r="D24" s="42">
        <f>'P&amp;L '!D25/'P&amp;L '!$D$8</f>
        <v>0.44466818946862224</v>
      </c>
      <c r="E24" s="42">
        <f>'P&amp;L '!E25/'P&amp;L '!$E$8</f>
        <v>0.37077131258457374</v>
      </c>
      <c r="F24" s="42">
        <f>'P&amp;L '!F25/'P&amp;L '!$F$8</f>
        <v>0.41430344117914109</v>
      </c>
      <c r="G24" s="42">
        <f>'P&amp;L '!G23/'P&amp;L '!$G$8</f>
        <v>1.0516972899192201</v>
      </c>
      <c r="H24" s="42">
        <f>'P&amp;L '!H23/'P&amp;L '!$H$8</f>
        <v>7.2193610846857229E-2</v>
      </c>
    </row>
    <row r="25" spans="1:8" ht="15.6" x14ac:dyDescent="0.3">
      <c r="A25" s="8"/>
      <c r="B25" s="12"/>
      <c r="C25" s="12"/>
      <c r="D25" s="12"/>
      <c r="E25" s="12"/>
      <c r="F25" s="12"/>
      <c r="G25" s="12"/>
      <c r="H25" s="12"/>
    </row>
    <row r="26" spans="1:8" ht="15.6" x14ac:dyDescent="0.3">
      <c r="A26" s="8" t="s">
        <v>18</v>
      </c>
      <c r="B26" s="12">
        <f>'P&amp;L '!B27/'P&amp;L '!$B$8</f>
        <v>1.7489012731638803E-2</v>
      </c>
      <c r="C26" s="12">
        <f>'P&amp;L '!C27/'P&amp;L '!$C$8</f>
        <v>1.0072941993747829E-2</v>
      </c>
      <c r="D26" s="12">
        <f>'P&amp;L '!D27/'P&amp;L '!$D$8</f>
        <v>1.0008415484491464E-2</v>
      </c>
      <c r="E26" s="12">
        <f>'P&amp;L '!E27/'P&amp;L '!$E$8</f>
        <v>3.4007549319849013E-2</v>
      </c>
      <c r="F26" s="12">
        <f>'P&amp;L '!F27/'P&amp;L '!$F$8</f>
        <v>3.3140643442995069E-2</v>
      </c>
      <c r="G26" s="12">
        <f>'P&amp;L '!G25/'P&amp;L '!$G$8</f>
        <v>-0.26667911058794108</v>
      </c>
      <c r="H26" s="25">
        <f>'P&amp;L '!H25/'P&amp;L '!$H$8</f>
        <v>0.44320116288293798</v>
      </c>
    </row>
    <row r="27" spans="1:8" ht="15.6" x14ac:dyDescent="0.3">
      <c r="A27" s="41" t="s">
        <v>19</v>
      </c>
      <c r="B27" s="42">
        <f>'P&amp;L '!B29/'P&amp;L '!$B$8</f>
        <v>0.66811653300711338</v>
      </c>
      <c r="C27" s="42">
        <f>'P&amp;L '!C29/'P&amp;L '!$C$8</f>
        <v>0.47193469954845435</v>
      </c>
      <c r="D27" s="42">
        <f>'P&amp;L '!D29/'P&amp;L '!$D$8</f>
        <v>0.4346597739841308</v>
      </c>
      <c r="E27" s="42">
        <f>'P&amp;L '!E29/'P&amp;L '!$E$8</f>
        <v>0.33676376326472474</v>
      </c>
      <c r="F27" s="42">
        <f>'P&amp;L '!F29/'P&amp;L '!$F$8</f>
        <v>0.38116279773614598</v>
      </c>
      <c r="G27" s="42">
        <f>'P&amp;L '!G26/'P&amp;L '!$G$8</f>
        <v>0</v>
      </c>
      <c r="H27" s="45">
        <f>'P&amp;L '!H26/'P&amp;L '!$H$8</f>
        <v>0</v>
      </c>
    </row>
    <row r="28" spans="1:8" ht="15.6" x14ac:dyDescent="0.3">
      <c r="A28" s="8"/>
      <c r="B28" s="12"/>
      <c r="C28" s="12"/>
      <c r="D28" s="12"/>
      <c r="E28" s="12"/>
      <c r="F28" s="12"/>
      <c r="G28" s="12"/>
      <c r="H28" s="25"/>
    </row>
    <row r="29" spans="1:8" ht="15.6" x14ac:dyDescent="0.3">
      <c r="A29" s="8" t="s">
        <v>22</v>
      </c>
      <c r="B29" s="12">
        <f>'P&amp;L '!B31/'P&amp;L '!$B$8</f>
        <v>8.2778306374881067E-2</v>
      </c>
      <c r="C29" s="12">
        <f>'P&amp;L '!C31/'P&amp;L '!$C$8</f>
        <v>8.4925321292115316E-2</v>
      </c>
      <c r="D29" s="12">
        <f>'P&amp;L '!D31/'P&amp;L '!$D$8</f>
        <v>0.10311974032219283</v>
      </c>
      <c r="E29" s="12">
        <f>'P&amp;L '!E31/'P&amp;L '!$E$8</f>
        <v>9.0769888184602243E-2</v>
      </c>
      <c r="F29" s="12">
        <f>'P&amp;L '!F31/'P&amp;L '!$F$8</f>
        <v>9.7636270088677701E-2</v>
      </c>
      <c r="G29" s="12">
        <f>'P&amp;L '!G28/'P&amp;L '!$G$8</f>
        <v>2.04499113413695E-5</v>
      </c>
      <c r="H29" s="12">
        <f>'P&amp;L '!H28/'P&amp;L '!$H$8</f>
        <v>1.340982021359098E-6</v>
      </c>
    </row>
    <row r="30" spans="1:8" ht="15.6" x14ac:dyDescent="0.3">
      <c r="A30" s="8" t="s">
        <v>23</v>
      </c>
      <c r="B30" s="12">
        <f>'P&amp;L '!B33/'P&amp;L '!$B$8</f>
        <v>3.4751483847582802E-2</v>
      </c>
      <c r="C30" s="12">
        <f>'P&amp;L '!C33/'P&amp;L '!$C$8</f>
        <v>7.0371656825286552E-2</v>
      </c>
      <c r="D30" s="12">
        <f>'P&amp;L '!D33/'P&amp;L '!$D$8</f>
        <v>4.0454436162539069E-2</v>
      </c>
      <c r="E30" s="12">
        <f>'P&amp;L '!E33/'P&amp;L '!$E$8</f>
        <v>-3.5609999287800013E-5</v>
      </c>
      <c r="F30" s="12">
        <f>'P&amp;L '!F33/'P&amp;L '!$F$8</f>
        <v>-7.869011228473715E-4</v>
      </c>
      <c r="G30" s="12">
        <f>'P&amp;L '!G29/'P&amp;L '!$G$8</f>
        <v>-0.49095328826874041</v>
      </c>
      <c r="H30" s="25">
        <f>'P&amp;L '!H29/'P&amp;L '!$H$8</f>
        <v>0.42849461305469277</v>
      </c>
    </row>
    <row r="31" spans="1:8" ht="15.6" x14ac:dyDescent="0.3">
      <c r="A31" s="41" t="s">
        <v>24</v>
      </c>
      <c r="B31" s="42">
        <f>'P&amp;L '!B34/'P&amp;L '!$B$8</f>
        <v>0.55058674278464959</v>
      </c>
      <c r="C31" s="42">
        <f>'P&amp;L '!C34/'P&amp;L '!$C$8</f>
        <v>0.31663772143105245</v>
      </c>
      <c r="D31" s="42">
        <f>'P&amp;L '!D34/'P&amp;L '!$D$8</f>
        <v>0.29108559749939888</v>
      </c>
      <c r="E31" s="42">
        <f>'P&amp;L '!E34/'P&amp;L '!$E$8</f>
        <v>0.2460294850794103</v>
      </c>
      <c r="F31" s="42">
        <f>'P&amp;L '!F34/'P&amp;L '!$F$8</f>
        <v>0.28431342877031568</v>
      </c>
      <c r="G31" s="42">
        <f>'P&amp;L '!G34/'P&amp;L '!$F$8</f>
        <v>-4.5608018860289992E-2</v>
      </c>
      <c r="H31" s="42">
        <f>'P&amp;L '!H34/'P&amp;L '!$F$8</f>
        <v>0.6232079139875325</v>
      </c>
    </row>
    <row r="32" spans="1:8" ht="15.6" x14ac:dyDescent="0.3">
      <c r="A32" s="5"/>
      <c r="B32" s="8"/>
      <c r="C32" s="8"/>
      <c r="D32" s="12"/>
      <c r="E32" s="8"/>
      <c r="F32" s="12"/>
    </row>
    <row r="33" spans="3:6" ht="15.6" x14ac:dyDescent="0.3">
      <c r="C33" s="8"/>
      <c r="E33" s="8"/>
      <c r="F33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2E2CF-6228-4D25-88BB-CAC2EE765B10}">
  <dimension ref="A1:W105"/>
  <sheetViews>
    <sheetView zoomScale="70" zoomScaleNormal="85" workbookViewId="0">
      <selection activeCell="L29" sqref="L29"/>
    </sheetView>
  </sheetViews>
  <sheetFormatPr defaultRowHeight="14.4" x14ac:dyDescent="0.3"/>
  <cols>
    <col min="1" max="1" width="55.6640625" bestFit="1" customWidth="1"/>
    <col min="2" max="8" width="13.5546875" bestFit="1" customWidth="1"/>
  </cols>
  <sheetData>
    <row r="1" spans="1:17" ht="15" customHeight="1" x14ac:dyDescent="0.3"/>
    <row r="3" spans="1:17" ht="17.399999999999999" x14ac:dyDescent="0.3">
      <c r="A3" s="1" t="s">
        <v>0</v>
      </c>
      <c r="B3" s="2">
        <v>44286</v>
      </c>
      <c r="C3" s="2">
        <v>44651</v>
      </c>
      <c r="D3" s="2">
        <v>45016</v>
      </c>
      <c r="E3" s="2">
        <v>45382</v>
      </c>
      <c r="F3" s="2">
        <v>45747</v>
      </c>
      <c r="G3" s="2">
        <v>46112</v>
      </c>
      <c r="H3" s="2">
        <v>46477</v>
      </c>
    </row>
    <row r="4" spans="1:17" ht="17.399999999999999" x14ac:dyDescent="0.3">
      <c r="A4" s="1" t="s">
        <v>128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</row>
    <row r="5" spans="1:17" ht="17.399999999999999" x14ac:dyDescent="0.3">
      <c r="A5" s="1" t="s">
        <v>2</v>
      </c>
      <c r="B5" s="3" t="s">
        <v>4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203</v>
      </c>
      <c r="H5" s="3" t="s">
        <v>203</v>
      </c>
    </row>
    <row r="6" spans="1:17" x14ac:dyDescent="0.3">
      <c r="A6" s="5"/>
      <c r="B6" s="5"/>
      <c r="C6" s="5"/>
      <c r="D6" s="5"/>
      <c r="E6" s="5"/>
      <c r="F6" s="5"/>
    </row>
    <row r="7" spans="1:17" ht="15.6" x14ac:dyDescent="0.3">
      <c r="A7" s="9" t="s">
        <v>26</v>
      </c>
      <c r="B7" s="8"/>
      <c r="C7" s="8"/>
      <c r="D7" s="8"/>
      <c r="E7" s="8"/>
      <c r="F7" s="8"/>
      <c r="J7" s="46" t="s">
        <v>280</v>
      </c>
      <c r="K7" s="46"/>
      <c r="L7" s="46"/>
      <c r="M7" s="46"/>
      <c r="N7" s="46"/>
      <c r="O7" s="46"/>
      <c r="P7" s="46"/>
      <c r="Q7" s="46"/>
    </row>
    <row r="8" spans="1:17" ht="15.6" x14ac:dyDescent="0.3">
      <c r="A8" s="9" t="s">
        <v>27</v>
      </c>
      <c r="B8" s="8"/>
      <c r="C8" s="8"/>
      <c r="D8" s="8"/>
      <c r="E8" s="8"/>
      <c r="F8" s="8"/>
      <c r="G8" s="30"/>
      <c r="H8" s="30"/>
      <c r="J8" s="46" t="s">
        <v>281</v>
      </c>
      <c r="K8" s="46"/>
      <c r="L8" s="46"/>
      <c r="M8" s="46"/>
      <c r="N8" s="46"/>
      <c r="O8" s="46"/>
      <c r="P8" s="46"/>
      <c r="Q8" s="46"/>
    </row>
    <row r="9" spans="1:17" ht="15.6" x14ac:dyDescent="0.3">
      <c r="A9" s="8" t="s">
        <v>28</v>
      </c>
      <c r="B9" s="12">
        <f>'Balance sheet'!B8/'Balance sheet'!$B$34</f>
        <v>0.35967808953134911</v>
      </c>
      <c r="C9" s="12">
        <f>'Balance sheet'!C8/'Balance sheet'!$C$34</f>
        <v>0.3842623684799642</v>
      </c>
      <c r="D9" s="12">
        <f>'Balance sheet'!D8/'Balance sheet'!$D$34</f>
        <v>0.4942622719711281</v>
      </c>
      <c r="E9" s="12">
        <f>'Balance sheet'!E8/'Balance sheet'!$E$34</f>
        <v>0.5301961941289276</v>
      </c>
      <c r="F9" s="12">
        <f>'Balance sheet'!F8/'Balance sheet'!$F$34</f>
        <v>0.53595244998550307</v>
      </c>
      <c r="G9" s="12">
        <f>'Balance sheet'!G8/'Balance sheet'!$G$34</f>
        <v>0.5662065056970933</v>
      </c>
      <c r="H9" s="12">
        <f>'Balance sheet'!H8/'Balance sheet'!$H$34</f>
        <v>0.50131597154047558</v>
      </c>
      <c r="I9" s="5"/>
      <c r="J9" s="46" t="s">
        <v>282</v>
      </c>
      <c r="K9" s="46"/>
      <c r="L9" s="46"/>
      <c r="M9" s="46"/>
      <c r="N9" s="46"/>
      <c r="O9" s="46"/>
      <c r="P9" s="46"/>
      <c r="Q9" s="46"/>
    </row>
    <row r="10" spans="1:17" ht="15.6" x14ac:dyDescent="0.3">
      <c r="A10" s="8" t="s">
        <v>29</v>
      </c>
      <c r="B10" s="12">
        <f>'Balance sheet'!B9/'Balance sheet'!$B$34</f>
        <v>4.2032059833358844E-2</v>
      </c>
      <c r="C10" s="12">
        <f>'Balance sheet'!C9/'Balance sheet'!$C$34</f>
        <v>4.6451757331542422E-2</v>
      </c>
      <c r="D10" s="12">
        <f>'Balance sheet'!D9/'Balance sheet'!$D$34</f>
        <v>6.3072715481997346E-2</v>
      </c>
      <c r="E10" s="12">
        <f>'Balance sheet'!E9/'Balance sheet'!$E$34</f>
        <v>5.0036878595663074E-2</v>
      </c>
      <c r="F10" s="12">
        <f>'Balance sheet'!F9/'Balance sheet'!$F$34</f>
        <v>7.5558132792113653E-2</v>
      </c>
      <c r="G10" s="12">
        <f>'Balance sheet'!G9/'Balance sheet'!$G$34</f>
        <v>7.9083206576404233E-2</v>
      </c>
      <c r="H10" s="12">
        <f>'Balance sheet'!H9/'Balance sheet'!$H$34</f>
        <v>6.9699306319067469E-2</v>
      </c>
      <c r="I10" s="5"/>
      <c r="J10" s="46" t="s">
        <v>283</v>
      </c>
      <c r="K10" s="46"/>
      <c r="L10" s="46"/>
      <c r="M10" s="46"/>
      <c r="N10" s="46"/>
      <c r="O10" s="46"/>
      <c r="P10" s="46"/>
      <c r="Q10" s="46"/>
    </row>
    <row r="11" spans="1:17" ht="15.6" x14ac:dyDescent="0.3">
      <c r="A11" s="8" t="s">
        <v>30</v>
      </c>
      <c r="B11" s="12">
        <f>'Balance sheet'!B10/'Balance sheet'!$B$34</f>
        <v>7.8946792923218229E-3</v>
      </c>
      <c r="C11" s="12">
        <f>'Balance sheet'!C10/'Balance sheet'!$C$34</f>
        <v>5.1712558764271327E-3</v>
      </c>
      <c r="D11" s="12">
        <f>'Balance sheet'!D10/'Balance sheet'!$D$34</f>
        <v>2.5939605830772269E-3</v>
      </c>
      <c r="E11" s="12">
        <f>'Balance sheet'!E10/'Balance sheet'!$E$34</f>
        <v>5.3105177754831099E-3</v>
      </c>
      <c r="F11" s="12">
        <f>'Balance sheet'!F10/'Balance sheet'!$F$34</f>
        <v>3.5662510872716728E-3</v>
      </c>
      <c r="G11" s="12">
        <f>'Balance sheet'!G10/'Balance sheet'!$G$34</f>
        <v>3.7326302413268303E-3</v>
      </c>
      <c r="H11" s="12">
        <f>'Balance sheet'!H10/'Balance sheet'!$H$34</f>
        <v>3.2897216720051028E-3</v>
      </c>
      <c r="I11" s="5"/>
      <c r="J11" s="46" t="s">
        <v>284</v>
      </c>
      <c r="K11" s="46"/>
      <c r="L11" s="46"/>
      <c r="M11" s="46"/>
      <c r="N11" s="46"/>
      <c r="O11" s="46"/>
      <c r="P11" s="46"/>
      <c r="Q11" s="46"/>
    </row>
    <row r="12" spans="1:17" ht="15.6" x14ac:dyDescent="0.3">
      <c r="A12" s="9" t="s">
        <v>31</v>
      </c>
      <c r="B12" s="12"/>
      <c r="C12" s="12"/>
      <c r="D12" s="12"/>
      <c r="E12" s="12"/>
      <c r="F12" s="12"/>
      <c r="G12" s="12"/>
      <c r="H12" s="12"/>
      <c r="I12" s="5"/>
      <c r="J12" s="46"/>
      <c r="K12" s="46"/>
      <c r="L12" s="46"/>
      <c r="M12" s="46"/>
      <c r="N12" s="46"/>
      <c r="O12" s="46"/>
      <c r="P12" s="46"/>
      <c r="Q12" s="46"/>
    </row>
    <row r="13" spans="1:17" ht="15.6" x14ac:dyDescent="0.3">
      <c r="A13" s="43" t="s">
        <v>41</v>
      </c>
      <c r="B13" s="12">
        <f>'Balance sheet'!B12/'Balance sheet'!$B$34</f>
        <v>0</v>
      </c>
      <c r="C13" s="12">
        <f>'Balance sheet'!C12/'Balance sheet'!$C$34</f>
        <v>0</v>
      </c>
      <c r="D13" s="12">
        <f>'Balance sheet'!D12/'Balance sheet'!$D$34</f>
        <v>7.2461724983787744E-3</v>
      </c>
      <c r="E13" s="12">
        <f>'Balance sheet'!E12/'Balance sheet'!$E$34</f>
        <v>1.7052662634606874E-2</v>
      </c>
      <c r="F13" s="12">
        <f>'Balance sheet'!F12/'Balance sheet'!$F$34</f>
        <v>2.3861988982313714E-2</v>
      </c>
      <c r="G13" s="12">
        <f>'Balance sheet'!G12/'Balance sheet'!$G$34</f>
        <v>2.4975241370829116E-2</v>
      </c>
      <c r="H13" s="12">
        <f>'Balance sheet'!H12/'Balance sheet'!$H$34</f>
        <v>2.2011714927318696E-2</v>
      </c>
      <c r="I13" s="5"/>
    </row>
    <row r="14" spans="1:17" ht="15.6" x14ac:dyDescent="0.3">
      <c r="A14" s="43" t="s">
        <v>32</v>
      </c>
      <c r="B14" s="12">
        <f>'Balance sheet'!B13/'Balance sheet'!$B$34</f>
        <v>2.6242701248715202E-4</v>
      </c>
      <c r="C14" s="12">
        <f>'Balance sheet'!C13/'Balance sheet'!$C$34</f>
        <v>4.4772778150884262E-5</v>
      </c>
      <c r="D14" s="12">
        <f>'Balance sheet'!D13/'Balance sheet'!$D$34</f>
        <v>0</v>
      </c>
      <c r="E14" s="12">
        <f>'Balance sheet'!E13/'Balance sheet'!$E$34</f>
        <v>0</v>
      </c>
      <c r="F14" s="12">
        <f>'Balance sheet'!F13/'Balance sheet'!$F$34</f>
        <v>2.8993911278631488E-5</v>
      </c>
      <c r="G14" s="12">
        <f>'Balance sheet'!G13/'Balance sheet'!$G$34</f>
        <v>3.0346587327860409E-5</v>
      </c>
      <c r="H14" s="12">
        <f>'Balance sheet'!H13/'Balance sheet'!$H$34</f>
        <v>2.6745704650447992E-5</v>
      </c>
      <c r="I14" s="5"/>
    </row>
    <row r="15" spans="1:17" ht="15.6" x14ac:dyDescent="0.3">
      <c r="A15" s="43" t="s">
        <v>33</v>
      </c>
      <c r="B15" s="12">
        <f>'Balance sheet'!B14/'Balance sheet'!$B$34</f>
        <v>9.4036346141229471E-4</v>
      </c>
      <c r="C15" s="12">
        <f>'Balance sheet'!C14/'Balance sheet'!$C$34</f>
        <v>1.2536377882247593E-3</v>
      </c>
      <c r="D15" s="12">
        <f>'Balance sheet'!D14/'Balance sheet'!$D$34</f>
        <v>3.1578650576592326E-3</v>
      </c>
      <c r="E15" s="12">
        <f>'Balance sheet'!E14/'Balance sheet'!$E$34</f>
        <v>3.8648768254904852E-3</v>
      </c>
      <c r="F15" s="12">
        <f>'Balance sheet'!F14/'Balance sheet'!$F$34</f>
        <v>2.7544215714699915E-3</v>
      </c>
      <c r="G15" s="12">
        <f>'Balance sheet'!G14/'Balance sheet'!$G$34</f>
        <v>2.882925796146739E-3</v>
      </c>
      <c r="H15" s="12">
        <f>'Balance sheet'!H14/'Balance sheet'!$H$34</f>
        <v>2.5408419417925591E-3</v>
      </c>
      <c r="I15" s="5"/>
    </row>
    <row r="16" spans="1:17" ht="15.6" x14ac:dyDescent="0.3">
      <c r="A16" s="8" t="s">
        <v>34</v>
      </c>
      <c r="B16" s="12">
        <f>'Balance sheet'!B15/'Balance sheet'!$B$34</f>
        <v>2.3137314934283903E-2</v>
      </c>
      <c r="C16" s="12">
        <f>'Balance sheet'!C15/'Balance sheet'!$C$34</f>
        <v>0</v>
      </c>
      <c r="D16" s="12">
        <f>'Balance sheet'!D15/'Balance sheet'!$D$34</f>
        <v>0</v>
      </c>
      <c r="E16" s="12">
        <f>'Balance sheet'!E15/'Balance sheet'!$E$34</f>
        <v>0</v>
      </c>
      <c r="F16" s="12">
        <f>'Balance sheet'!F15/'Balance sheet'!$F$34</f>
        <v>0</v>
      </c>
      <c r="G16" s="12">
        <f>'Balance sheet'!G15/'Balance sheet'!$G$34</f>
        <v>0</v>
      </c>
      <c r="H16" s="12">
        <f>'Balance sheet'!H15/'Balance sheet'!$H$34</f>
        <v>0</v>
      </c>
      <c r="I16" s="5"/>
    </row>
    <row r="17" spans="1:9" ht="15.6" x14ac:dyDescent="0.3">
      <c r="A17" s="8" t="s">
        <v>35</v>
      </c>
      <c r="B17" s="12">
        <f>'Balance sheet'!B16/'Balance sheet'!$B$34</f>
        <v>9.4255035318302101E-3</v>
      </c>
      <c r="C17" s="12">
        <f>'Balance sheet'!C16/'Balance sheet'!$C$34</f>
        <v>6.1562569957465865E-3</v>
      </c>
      <c r="D17" s="12">
        <f>'Balance sheet'!D16/'Balance sheet'!$D$34</f>
        <v>8.1766148814390836E-3</v>
      </c>
      <c r="E17" s="12">
        <f>'Balance sheet'!E16/'Balance sheet'!$E$34</f>
        <v>1.678713674583272E-2</v>
      </c>
      <c r="F17" s="12">
        <f>'Balance sheet'!F16/'Balance sheet'!$F$34</f>
        <v>1.7135401565671209E-2</v>
      </c>
      <c r="G17" s="12">
        <f>'Balance sheet'!G16/'Balance sheet'!$G$34</f>
        <v>1.7934833110765502E-2</v>
      </c>
      <c r="H17" s="12">
        <f>'Balance sheet'!H16/'Balance sheet'!$H$34</f>
        <v>1.5806711448414761E-2</v>
      </c>
      <c r="I17" s="5"/>
    </row>
    <row r="18" spans="1:9" ht="15.6" x14ac:dyDescent="0.3">
      <c r="A18" s="8" t="s">
        <v>36</v>
      </c>
      <c r="B18" s="12">
        <f>'Balance sheet'!B17/'Balance sheet'!$B$34</f>
        <v>1.935399217092746E-2</v>
      </c>
      <c r="C18" s="12">
        <f>'Balance sheet'!C17/'Balance sheet'!$C$34</f>
        <v>1.9789567942690843E-2</v>
      </c>
      <c r="D18" s="12">
        <f>'Balance sheet'!D17/'Balance sheet'!$D$34</f>
        <v>4.0883074407195418E-3</v>
      </c>
      <c r="E18" s="12">
        <f>'Balance sheet'!E17/'Balance sheet'!$E$34</f>
        <v>4.2779170969169493E-3</v>
      </c>
      <c r="F18" s="12">
        <f>'Balance sheet'!F17/'Balance sheet'!$F$34</f>
        <v>4.059147579008408E-3</v>
      </c>
      <c r="G18" s="12">
        <f>'Balance sheet'!G17/'Balance sheet'!$G$34</f>
        <v>4.2485222259004574E-3</v>
      </c>
      <c r="H18" s="12">
        <f>'Balance sheet'!H17/'Balance sheet'!$H$34</f>
        <v>3.7443986510627188E-3</v>
      </c>
      <c r="I18" s="5"/>
    </row>
    <row r="19" spans="1:9" ht="15.6" x14ac:dyDescent="0.3">
      <c r="A19" s="41" t="s">
        <v>37</v>
      </c>
      <c r="B19" s="42">
        <f>'Balance sheet'!B18/'Balance sheet'!$B$34</f>
        <v>0.46272442976797079</v>
      </c>
      <c r="C19" s="42">
        <f>'Balance sheet'!C18/'Balance sheet'!$B$34</f>
        <v>0.45242416952785008</v>
      </c>
      <c r="D19" s="42">
        <f>'Balance sheet'!D18/'Balance sheet'!$B$34</f>
        <v>0.45187744658516849</v>
      </c>
      <c r="E19" s="42">
        <f>'Balance sheet'!E18/'Balance sheet'!$B$34</f>
        <v>0.46515187963347693</v>
      </c>
      <c r="F19" s="42">
        <f>'Balance sheet'!F18/'Balance sheet'!$B$34</f>
        <v>0.50001093445885358</v>
      </c>
      <c r="G19" s="42">
        <f>'Balance sheet'!G18/'Balance sheet'!$G$34</f>
        <v>0.6990942116057941</v>
      </c>
      <c r="H19" s="42">
        <f>'Balance sheet'!H18/'Balance sheet'!$G$34</f>
        <v>0.70169787965558705</v>
      </c>
      <c r="I19" s="5"/>
    </row>
    <row r="20" spans="1:9" ht="15.6" x14ac:dyDescent="0.3">
      <c r="A20" s="8"/>
      <c r="B20" s="12"/>
      <c r="C20" s="12"/>
      <c r="D20" s="12"/>
      <c r="E20" s="12"/>
      <c r="F20" s="12"/>
      <c r="G20" s="12"/>
      <c r="H20" s="12"/>
      <c r="I20" s="5"/>
    </row>
    <row r="21" spans="1:9" ht="15.6" x14ac:dyDescent="0.3">
      <c r="A21" s="9" t="s">
        <v>38</v>
      </c>
      <c r="B21" s="12"/>
      <c r="C21" s="12"/>
      <c r="D21" s="12"/>
      <c r="E21" s="12"/>
      <c r="F21" s="12"/>
      <c r="G21" s="12"/>
      <c r="H21" s="12"/>
      <c r="I21" s="5"/>
    </row>
    <row r="22" spans="1:9" ht="15.6" x14ac:dyDescent="0.3">
      <c r="A22" s="8" t="s">
        <v>39</v>
      </c>
      <c r="B22" s="12">
        <f>'Balance sheet'!B21/'Balance sheet'!$B$34</f>
        <v>3.11632077328493E-2</v>
      </c>
      <c r="C22" s="12">
        <f>'Balance sheet'!C21/'Balance sheet'!$C$34</f>
        <v>4.3720617864338479E-2</v>
      </c>
      <c r="D22" s="12">
        <f>'Balance sheet'!D21/'Balance sheet'!$D$34</f>
        <v>5.2499506583584737E-2</v>
      </c>
      <c r="E22" s="12">
        <f>'Balance sheet'!E21/'Balance sheet'!$E$34</f>
        <v>5.6822540197669275E-2</v>
      </c>
      <c r="F22" s="12">
        <f>'Balance sheet'!F21/'Balance sheet'!$F$34</f>
        <v>5.4769498405334877E-2</v>
      </c>
      <c r="G22" s="12">
        <f>'Balance sheet'!G21/'Balance sheet'!$G$34</f>
        <v>7.4619809143252449E-3</v>
      </c>
      <c r="H22" s="12">
        <f>'Balance sheet'!H21/'Balance sheet'!$H$34</f>
        <v>0.10484328475774196</v>
      </c>
      <c r="I22" s="5"/>
    </row>
    <row r="23" spans="1:9" ht="15.6" x14ac:dyDescent="0.3">
      <c r="A23" s="9" t="s">
        <v>40</v>
      </c>
      <c r="B23" s="12"/>
      <c r="C23" s="12"/>
      <c r="D23" s="12"/>
      <c r="E23" s="12"/>
      <c r="F23" s="12"/>
      <c r="G23" s="12"/>
      <c r="H23" s="12"/>
      <c r="I23" s="5"/>
    </row>
    <row r="24" spans="1:9" ht="15.6" x14ac:dyDescent="0.3">
      <c r="A24" s="43" t="s">
        <v>41</v>
      </c>
      <c r="B24" s="12">
        <f>'Balance sheet'!B24/'Balance sheet'!$B$34</f>
        <v>0.28335556673300238</v>
      </c>
      <c r="C24" s="12">
        <f>'Balance sheet'!C24/'Balance sheet'!$C$34</f>
        <v>0.33695992836355498</v>
      </c>
      <c r="D24" s="12">
        <f>'Balance sheet'!D24/'Balance sheet'!$D$34</f>
        <v>0.27772295373163786</v>
      </c>
      <c r="E24" s="12">
        <f>'Balance sheet'!E24/'Balance sheet'!$E$34</f>
        <v>0.29131140286177903</v>
      </c>
      <c r="F24" s="12">
        <f>'Balance sheet'!F24/'Balance sheet'!$F$34</f>
        <v>0.2652652942881995</v>
      </c>
      <c r="G24" s="12">
        <f>'Balance sheet'!G23/'Balance sheet'!$G$34</f>
        <v>0</v>
      </c>
      <c r="H24" s="12">
        <f>'Balance sheet'!H23/'Balance sheet'!$H$34</f>
        <v>0</v>
      </c>
      <c r="I24" s="5"/>
    </row>
    <row r="25" spans="1:9" ht="15.6" x14ac:dyDescent="0.3">
      <c r="A25" s="43" t="s">
        <v>42</v>
      </c>
      <c r="B25" s="12">
        <f>'Balance sheet'!B25/'Balance sheet'!$B$34</f>
        <v>8.8787805891486424E-3</v>
      </c>
      <c r="C25" s="12">
        <f>'Balance sheet'!C25/'Balance sheet'!$C$34</f>
        <v>1.6028654578016565E-2</v>
      </c>
      <c r="D25" s="12">
        <f>'Balance sheet'!D25/'Balance sheet'!$D$34</f>
        <v>1.0714185017058111E-2</v>
      </c>
      <c r="E25" s="12">
        <f>'Balance sheet'!E25/'Balance sheet'!$E$34</f>
        <v>4.5729458622215668E-3</v>
      </c>
      <c r="F25" s="12">
        <f>'Balance sheet'!F25/'Balance sheet'!$F$34</f>
        <v>3.3922876195998839E-3</v>
      </c>
      <c r="G25" s="12">
        <f>'Balance sheet'!G24/'Balance sheet'!$G$34</f>
        <v>0.27764092746259489</v>
      </c>
      <c r="H25" s="12">
        <f>'Balance sheet'!H24/'Balance sheet'!$H$34</f>
        <v>0.24469645184694866</v>
      </c>
      <c r="I25" s="5"/>
    </row>
    <row r="26" spans="1:9" ht="15.6" x14ac:dyDescent="0.3">
      <c r="A26" s="43" t="s">
        <v>43</v>
      </c>
      <c r="B26" s="12">
        <f>'Balance sheet'!B27/'Balance sheet'!$B$34</f>
        <v>6.8449712423732153E-3</v>
      </c>
      <c r="C26" s="12">
        <f>'Balance sheet'!C27/'Balance sheet'!$C$34</f>
        <v>3.5639131408103875E-2</v>
      </c>
      <c r="D26" s="12">
        <f>'Balance sheet'!D27/'Balance sheet'!$D$34</f>
        <v>1.6635182000169172E-3</v>
      </c>
      <c r="E26" s="12">
        <f>'Balance sheet'!E27/'Balance sheet'!$E$34</f>
        <v>1.5636524561144711E-3</v>
      </c>
      <c r="F26" s="12">
        <f>'Balance sheet'!F27/'Balance sheet'!$F$34</f>
        <v>2.7834154827486228E-3</v>
      </c>
      <c r="G26" s="12">
        <f>'Balance sheet'!G25/'Balance sheet'!$G$34</f>
        <v>1.5096373858636903E-3</v>
      </c>
      <c r="H26" s="12">
        <f>'Balance sheet'!H25/'Balance sheet'!$H$34</f>
        <v>1.9427624300161095E-2</v>
      </c>
      <c r="I26" s="5"/>
    </row>
    <row r="27" spans="1:9" ht="15.6" x14ac:dyDescent="0.3">
      <c r="A27" s="43" t="s">
        <v>44</v>
      </c>
      <c r="B27" s="12">
        <f>'Balance sheet'!B28/'Balance sheet'!$B$34</f>
        <v>0.19819800118092157</v>
      </c>
      <c r="C27" s="12">
        <f>'Balance sheet'!C28/'Balance sheet'!$C$34</f>
        <v>9.3373628833669134E-2</v>
      </c>
      <c r="D27" s="12">
        <f>'Balance sheet'!D28/'Balance sheet'!$D$34</f>
        <v>3.8148137705472693E-2</v>
      </c>
      <c r="E27" s="12">
        <f>'Balance sheet'!E28/'Balance sheet'!$E$34</f>
        <v>3.5993509367163298E-3</v>
      </c>
      <c r="F27" s="12">
        <f>'Balance sheet'!F28/'Balance sheet'!$F$34</f>
        <v>2.3485068135691506E-3</v>
      </c>
      <c r="G27" s="12">
        <f>'Balance sheet'!G26/'Balance sheet'!$G$34</f>
        <v>3.8689802041664065E-7</v>
      </c>
      <c r="H27" s="12">
        <f>'Balance sheet'!H26/'Balance sheet'!$H$34</f>
        <v>3.107886992317905E-7</v>
      </c>
      <c r="I27" s="5"/>
    </row>
    <row r="28" spans="1:9" ht="15.6" x14ac:dyDescent="0.3">
      <c r="A28" s="43" t="s">
        <v>32</v>
      </c>
      <c r="B28" s="12">
        <f>'Balance sheet'!B29/'Balance sheet'!$B$34</f>
        <v>4.3737835414525336E-5</v>
      </c>
      <c r="C28" s="12">
        <f>'Balance sheet'!C29/'Balance sheet'!$C$34</f>
        <v>4.4772778150884262E-5</v>
      </c>
      <c r="D28" s="12">
        <f>'Balance sheet'!D29/'Balance sheet'!$D$34</f>
        <v>8.4585671187300865E-5</v>
      </c>
      <c r="E28" s="12">
        <f>'Balance sheet'!E29/'Balance sheet'!$E$34</f>
        <v>2.9502876530461721E-5</v>
      </c>
      <c r="F28" s="12">
        <f>'Balance sheet'!F29/'Balance sheet'!$F$34</f>
        <v>2.8993911278631488E-5</v>
      </c>
      <c r="G28" s="12">
        <f>'Balance sheet'!G27/'Balance sheet'!$G$34</f>
        <v>2.9132723834745995E-3</v>
      </c>
      <c r="H28" s="12">
        <f>'Balance sheet'!H27/'Balance sheet'!$H$34</f>
        <v>2.5675876464430073E-3</v>
      </c>
      <c r="I28" s="5"/>
    </row>
    <row r="29" spans="1:9" ht="15.6" x14ac:dyDescent="0.3">
      <c r="A29" s="43" t="s">
        <v>33</v>
      </c>
      <c r="B29" s="12">
        <f>'Balance sheet'!B30/'Balance sheet'!$B$34</f>
        <v>1.1590526384849214E-3</v>
      </c>
      <c r="C29" s="12">
        <f>'Balance sheet'!C30/'Balance sheet'!$C$34</f>
        <v>7.387508394895903E-4</v>
      </c>
      <c r="D29" s="12">
        <f>'Balance sheet'!D30/'Balance sheet'!$D$34</f>
        <v>2.509374911889926E-3</v>
      </c>
      <c r="E29" s="12">
        <f>'Balance sheet'!E30/'Balance sheet'!$E$34</f>
        <v>1.7406697152972414E-3</v>
      </c>
      <c r="F29" s="12">
        <f>'Balance sheet'!F30/'Balance sheet'!$F$34</f>
        <v>1.1887503624238909E-3</v>
      </c>
      <c r="G29" s="12">
        <f>'Balance sheet'!G28/'Balance sheet'!$G$34</f>
        <v>2.4580735735566933E-3</v>
      </c>
      <c r="H29" s="12">
        <f>'Balance sheet'!H28/'Balance sheet'!$H$34</f>
        <v>2.1664020766862871E-3</v>
      </c>
      <c r="I29" s="5"/>
    </row>
    <row r="30" spans="1:9" ht="15.6" x14ac:dyDescent="0.3">
      <c r="A30" s="8" t="s">
        <v>36</v>
      </c>
      <c r="B30" s="12">
        <f>'Balance sheet'!B31/'Balance sheet'!$B$34</f>
        <v>0</v>
      </c>
      <c r="C30" s="12">
        <f>'Balance sheet'!C31/'Balance sheet'!$C$34</f>
        <v>0</v>
      </c>
      <c r="D30" s="12">
        <f>'Balance sheet'!D31/'Balance sheet'!$D$34</f>
        <v>2.4586235091775453E-2</v>
      </c>
      <c r="E30" s="12">
        <f>'Balance sheet'!E31/'Balance sheet'!$E$34</f>
        <v>0</v>
      </c>
      <c r="F30" s="12">
        <f>'Balance sheet'!F31/'Balance sheet'!$F$34</f>
        <v>2.8993911278631488E-5</v>
      </c>
      <c r="G30" s="12">
        <f>'Balance sheet'!G29/'Balance sheet'!$G$34</f>
        <v>3.0346587327860409E-5</v>
      </c>
      <c r="H30" s="12">
        <f>'Balance sheet'!H29/'Balance sheet'!$H$34</f>
        <v>2.6745704650447992E-5</v>
      </c>
      <c r="I30" s="5"/>
    </row>
    <row r="31" spans="1:9" ht="15.6" x14ac:dyDescent="0.3">
      <c r="A31" s="8" t="s">
        <v>45</v>
      </c>
      <c r="B31" s="12">
        <f>'Balance sheet'!B32/'Balance sheet'!$B$34</f>
        <v>7.632252279834671E-3</v>
      </c>
      <c r="C31" s="12">
        <f>'Balance sheet'!C32/'Balance sheet'!$C$34</f>
        <v>1.0364898141929707E-2</v>
      </c>
      <c r="D31" s="12">
        <f>'Balance sheet'!D32/'Balance sheet'!$D$34</f>
        <v>9.4735951729776977E-3</v>
      </c>
      <c r="E31" s="12">
        <f>'Balance sheet'!E32/'Balance sheet'!$E$34</f>
        <v>1.2833751290750848E-2</v>
      </c>
      <c r="F31" s="12">
        <f>'Balance sheet'!F32/'Balance sheet'!$F$34</f>
        <v>7.2774717309365029E-3</v>
      </c>
      <c r="G31" s="12">
        <f>'Balance sheet'!G30/'Balance sheet'!$G$34</f>
        <v>1.2442100804422769E-3</v>
      </c>
      <c r="H31" s="12">
        <f>'Balance sheet'!H30/'Balance sheet'!$H$34</f>
        <v>1.0965738906683676E-3</v>
      </c>
      <c r="I31" s="5"/>
    </row>
    <row r="32" spans="1:9" ht="15.6" x14ac:dyDescent="0.3">
      <c r="A32" s="41" t="s">
        <v>46</v>
      </c>
      <c r="B32" s="42">
        <f>'Balance sheet'!B33/'Balance sheet'!$B$34</f>
        <v>0.53727557023202921</v>
      </c>
      <c r="C32" s="42">
        <f>'Balance sheet'!C33/'Balance sheet'!$C$34</f>
        <v>0.53687038280725319</v>
      </c>
      <c r="D32" s="42">
        <f>'Balance sheet'!D33/'Balance sheet'!$D$34</f>
        <v>0.4174020920856007</v>
      </c>
      <c r="E32" s="42">
        <f>'Balance sheet'!E33/'Balance sheet'!$E$34</f>
        <v>0.3724738161970792</v>
      </c>
      <c r="F32" s="42">
        <f>'Balance sheet'!F33/'Balance sheet'!$F$34</f>
        <v>0.33708321252536966</v>
      </c>
      <c r="G32" s="42">
        <f>'Balance sheet'!G31/'Balance sheet'!$G$34</f>
        <v>3.0346587327860409E-5</v>
      </c>
      <c r="H32" s="42">
        <f>'Balance sheet'!H31/'Balance sheet'!$H$34</f>
        <v>2.6745704650447992E-5</v>
      </c>
      <c r="I32" s="5"/>
    </row>
    <row r="33" spans="1:17" ht="15.6" x14ac:dyDescent="0.3">
      <c r="A33" s="41" t="s">
        <v>47</v>
      </c>
      <c r="B33" s="42">
        <f>'Balance sheet'!B34/'Balance sheet'!$B$34</f>
        <v>1</v>
      </c>
      <c r="C33" s="42">
        <f>'Balance sheet'!C34/'Balance sheet'!$C$34</f>
        <v>1</v>
      </c>
      <c r="D33" s="42">
        <f>'Balance sheet'!D34/'Balance sheet'!$D$34</f>
        <v>1</v>
      </c>
      <c r="E33" s="42">
        <f>'Balance sheet'!E34/'Balance sheet'!$E$34</f>
        <v>1</v>
      </c>
      <c r="F33" s="42">
        <f>'Balance sheet'!F34/'Balance sheet'!$F$34</f>
        <v>1</v>
      </c>
      <c r="G33" s="42">
        <f>'Balance sheet'!G32/'Balance sheet'!$G$34</f>
        <v>7.6169934192929631E-3</v>
      </c>
      <c r="H33" s="42">
        <f>'Balance sheet'!H32/'Balance sheet'!$H$34</f>
        <v>6.7131718672624454E-3</v>
      </c>
      <c r="I33" s="5"/>
    </row>
    <row r="34" spans="1:17" ht="15.6" x14ac:dyDescent="0.3">
      <c r="A34" s="8"/>
      <c r="B34" s="12"/>
      <c r="C34" s="12"/>
      <c r="D34" s="12"/>
      <c r="E34" s="12"/>
      <c r="F34" s="12"/>
      <c r="G34" s="12"/>
      <c r="H34" s="12"/>
      <c r="I34" s="5"/>
    </row>
    <row r="35" spans="1:17" ht="15.6" x14ac:dyDescent="0.3">
      <c r="A35" s="9" t="s">
        <v>48</v>
      </c>
      <c r="B35" s="12"/>
      <c r="C35" s="12"/>
      <c r="D35" s="12"/>
      <c r="E35" s="12"/>
      <c r="F35" s="12"/>
      <c r="G35" s="12"/>
      <c r="H35" s="12"/>
      <c r="I35" s="5"/>
      <c r="J35" s="46" t="s">
        <v>285</v>
      </c>
      <c r="K35" s="46"/>
      <c r="L35" s="46"/>
      <c r="M35" s="46"/>
      <c r="N35" s="46"/>
      <c r="O35" s="46"/>
      <c r="P35" s="46"/>
      <c r="Q35" s="47"/>
    </row>
    <row r="36" spans="1:17" ht="15.6" x14ac:dyDescent="0.3">
      <c r="A36" s="9" t="s">
        <v>49</v>
      </c>
      <c r="B36" s="12"/>
      <c r="C36" s="12"/>
      <c r="D36" s="12"/>
      <c r="E36" s="12"/>
      <c r="F36" s="12"/>
      <c r="G36" s="12"/>
      <c r="H36" s="12"/>
      <c r="I36" s="5"/>
      <c r="J36" s="46" t="s">
        <v>286</v>
      </c>
      <c r="K36" s="46"/>
      <c r="L36" s="46"/>
      <c r="M36" s="46"/>
      <c r="N36" s="46"/>
      <c r="O36" s="46"/>
      <c r="P36" s="46"/>
      <c r="Q36" s="47"/>
    </row>
    <row r="37" spans="1:17" ht="15.6" x14ac:dyDescent="0.3">
      <c r="A37" s="8" t="s">
        <v>50</v>
      </c>
      <c r="B37" s="12">
        <f>'Balance sheet'!B38/'Balance sheet'!$B$34</f>
        <v>1.8479235462636953E-2</v>
      </c>
      <c r="C37" s="12">
        <f>'Balance sheet'!C38/'Balance sheet'!$C$34</f>
        <v>1.89164987687486E-2</v>
      </c>
      <c r="D37" s="12">
        <f>'Balance sheet'!D38/'Balance sheet'!$D$34</f>
        <v>2.3824964051089744E-2</v>
      </c>
      <c r="E37" s="12">
        <f>'Balance sheet'!E38/'Balance sheet'!$E$34</f>
        <v>2.4929930668240154E-2</v>
      </c>
      <c r="F37" s="12">
        <f>'Balance sheet'!F38/'Balance sheet'!$F$34</f>
        <v>2.4499855030443607E-2</v>
      </c>
      <c r="G37" s="12">
        <f>'Balance sheet'!G36/'Balance sheet'!$G$34</f>
        <v>0</v>
      </c>
      <c r="H37" s="12">
        <f>'Balance sheet'!H36/'Balance sheet'!$H$34</f>
        <v>0</v>
      </c>
      <c r="I37" s="5"/>
      <c r="J37" s="46" t="s">
        <v>287</v>
      </c>
      <c r="K37" s="46"/>
      <c r="L37" s="46"/>
      <c r="M37" s="46"/>
      <c r="N37" s="46"/>
      <c r="O37" s="46"/>
      <c r="P37" s="46"/>
      <c r="Q37" s="47"/>
    </row>
    <row r="38" spans="1:17" ht="15.6" x14ac:dyDescent="0.3">
      <c r="A38" s="8" t="s">
        <v>51</v>
      </c>
      <c r="B38" s="12">
        <f>'Balance sheet'!B39/'Balance sheet'!$B$34</f>
        <v>0.68817110241214163</v>
      </c>
      <c r="C38" s="12">
        <f>'Balance sheet'!C39/'Balance sheet'!$C$34</f>
        <v>0.74851130512648312</v>
      </c>
      <c r="D38" s="12">
        <f>'Balance sheet'!D39/'Balance sheet'!$D$34</f>
        <v>0.34079566921363519</v>
      </c>
      <c r="E38" s="12">
        <f>'Balance sheet'!E39/'Balance sheet'!$E$34</f>
        <v>0.42336627821212569</v>
      </c>
      <c r="F38" s="12">
        <f>'Balance sheet'!F39/'Balance sheet'!$F$34</f>
        <v>0.36187300666859962</v>
      </c>
      <c r="G38" s="12">
        <f>'Balance sheet'!G37/'Balance sheet'!$G$34</f>
        <v>0</v>
      </c>
      <c r="H38" s="12">
        <f>'Balance sheet'!H37/'Balance sheet'!$H$34</f>
        <v>0</v>
      </c>
      <c r="I38" s="5"/>
      <c r="J38" s="46" t="s">
        <v>288</v>
      </c>
      <c r="K38" s="46"/>
      <c r="L38" s="46"/>
      <c r="M38" s="46"/>
      <c r="N38" s="46"/>
      <c r="O38" s="46"/>
      <c r="P38" s="46"/>
      <c r="Q38" s="47"/>
    </row>
    <row r="39" spans="1:17" ht="15.6" x14ac:dyDescent="0.3">
      <c r="A39" s="41" t="s">
        <v>52</v>
      </c>
      <c r="B39" s="42">
        <f>'Balance sheet'!B40/'Balance sheet'!$B$34</f>
        <v>0.7066503378747786</v>
      </c>
      <c r="C39" s="42">
        <f>'Balance sheet'!C40/'Balance sheet'!$C$34</f>
        <v>0.76742780389523169</v>
      </c>
      <c r="D39" s="42">
        <f>'Balance sheet'!D40/'Balance sheet'!$D$34</f>
        <v>0.36462063326472494</v>
      </c>
      <c r="E39" s="42">
        <f>'Balance sheet'!E40/'Balance sheet'!$E$34</f>
        <v>0.44829620888036581</v>
      </c>
      <c r="F39" s="42">
        <f>'Balance sheet'!F40/'Balance sheet'!$F$34</f>
        <v>0.38637286169904322</v>
      </c>
      <c r="G39" s="42">
        <f>'Balance sheet'!G38/'Balance sheet'!$G$34</f>
        <v>2.5642866292042047E-2</v>
      </c>
      <c r="H39" s="42">
        <f>'Balance sheet'!H38/'Balance sheet'!$H$34</f>
        <v>2.2600120429628553E-2</v>
      </c>
      <c r="I39" s="5"/>
      <c r="J39" s="46" t="s">
        <v>289</v>
      </c>
      <c r="K39" s="46"/>
      <c r="L39" s="46"/>
      <c r="M39" s="46"/>
      <c r="N39" s="46"/>
      <c r="O39" s="46"/>
      <c r="P39" s="46"/>
      <c r="Q39" s="47"/>
    </row>
    <row r="40" spans="1:17" ht="15.6" x14ac:dyDescent="0.3">
      <c r="A40" s="8"/>
      <c r="B40" s="12"/>
      <c r="C40" s="12"/>
      <c r="D40" s="12"/>
      <c r="E40" s="12"/>
      <c r="F40" s="12"/>
      <c r="G40" s="12"/>
      <c r="H40" s="12"/>
      <c r="I40" s="5"/>
    </row>
    <row r="41" spans="1:17" ht="15.6" x14ac:dyDescent="0.3">
      <c r="A41" s="9" t="s">
        <v>53</v>
      </c>
      <c r="B41" s="12"/>
      <c r="C41" s="12"/>
      <c r="D41" s="12"/>
      <c r="E41" s="12"/>
      <c r="F41" s="12"/>
      <c r="G41" s="12"/>
      <c r="H41" s="12"/>
      <c r="I41" s="5"/>
    </row>
    <row r="42" spans="1:17" ht="15.6" x14ac:dyDescent="0.3">
      <c r="A42" s="9" t="s">
        <v>54</v>
      </c>
      <c r="B42" s="12"/>
      <c r="C42" s="12"/>
      <c r="D42" s="12"/>
      <c r="E42" s="12"/>
      <c r="F42" s="12"/>
      <c r="G42" s="12"/>
      <c r="H42" s="12"/>
      <c r="I42" s="5"/>
    </row>
    <row r="43" spans="1:17" ht="15.6" x14ac:dyDescent="0.3">
      <c r="A43" s="9" t="s">
        <v>55</v>
      </c>
      <c r="B43" s="12"/>
      <c r="C43" s="12"/>
      <c r="D43" s="12"/>
      <c r="E43" s="12"/>
      <c r="F43" s="12"/>
      <c r="G43" s="12"/>
      <c r="H43" s="12"/>
      <c r="I43" s="5"/>
    </row>
    <row r="44" spans="1:17" ht="15.6" x14ac:dyDescent="0.3">
      <c r="A44" s="43" t="s">
        <v>56</v>
      </c>
      <c r="B44" s="12">
        <f>'Balance sheet'!B45/'Balance sheet'!$B$34</f>
        <v>9.4298773153716625E-2</v>
      </c>
      <c r="C44" s="12">
        <f>'Balance sheet'!C45/'Balance sheet'!$C$34</f>
        <v>4.7257667338258341E-2</v>
      </c>
      <c r="D44" s="12">
        <f>'Balance sheet'!D45/'Balance sheet'!$D$34</f>
        <v>4.2292835593650435E-2</v>
      </c>
      <c r="E44" s="12">
        <f>'Balance sheet'!E45/'Balance sheet'!$E$34</f>
        <v>0.12526921374834046</v>
      </c>
      <c r="F44" s="12">
        <f>'Balance sheet'!F45/'Balance sheet'!$F$34</f>
        <v>0.17367352855900262</v>
      </c>
      <c r="G44" s="12">
        <f>'Balance sheet'!G43/'Balance sheet'!$G$34</f>
        <v>0</v>
      </c>
      <c r="H44" s="12">
        <f>'Balance sheet'!H43/'Balance sheet'!$H$34</f>
        <v>0</v>
      </c>
      <c r="I44" s="5"/>
    </row>
    <row r="45" spans="1:17" ht="15.6" x14ac:dyDescent="0.3">
      <c r="A45" s="43" t="s">
        <v>70</v>
      </c>
      <c r="B45" s="12">
        <f>'Balance sheet'!B46/'Balance sheet'!$B$34</f>
        <v>0</v>
      </c>
      <c r="C45" s="12">
        <f>'Balance sheet'!C46/'Balance sheet'!$C$34</f>
        <v>1.343183344526528E-4</v>
      </c>
      <c r="D45" s="12">
        <f>'Balance sheet'!D46/'Balance sheet'!$D$34</f>
        <v>5.357092508529055E-4</v>
      </c>
      <c r="E45" s="12">
        <f>'Balance sheet'!E46/'Balance sheet'!$E$34</f>
        <v>5.2515120224221864E-3</v>
      </c>
      <c r="F45" s="12">
        <f>'Balance sheet'!F46/'Balance sheet'!$F$34</f>
        <v>5.1609162075964051E-3</v>
      </c>
      <c r="G45" s="12">
        <f>'Balance sheet'!G44/'Balance sheet'!$G$34</f>
        <v>0</v>
      </c>
      <c r="H45" s="12">
        <f>'Balance sheet'!H44/'Balance sheet'!$H$34</f>
        <v>0</v>
      </c>
      <c r="I45" s="5"/>
    </row>
    <row r="46" spans="1:17" ht="15.6" x14ac:dyDescent="0.3">
      <c r="A46" s="43" t="s">
        <v>59</v>
      </c>
      <c r="B46" s="12">
        <f>'Balance sheet'!B47/'Balance sheet'!$B$34</f>
        <v>1.7495134165810135E-4</v>
      </c>
      <c r="C46" s="12">
        <f>'Balance sheet'!C47/'Balance sheet'!$C$34</f>
        <v>0</v>
      </c>
      <c r="D46" s="12">
        <f>'Balance sheet'!D47/'Balance sheet'!$D$34</f>
        <v>0</v>
      </c>
      <c r="E46" s="12">
        <f>'Balance sheet'!E47/'Balance sheet'!$E$34</f>
        <v>0</v>
      </c>
      <c r="F46" s="12">
        <f>'Balance sheet'!F47/'Balance sheet'!$F$34</f>
        <v>9.9159176572919689E-3</v>
      </c>
      <c r="G46" s="12">
        <f>'Balance sheet'!G45/'Balance sheet'!$G$34</f>
        <v>0.18177605809388386</v>
      </c>
      <c r="H46" s="12">
        <f>'Balance sheet'!H45/'Balance sheet'!$H$34</f>
        <v>0.16020677085618346</v>
      </c>
      <c r="I46" s="5"/>
    </row>
    <row r="47" spans="1:17" ht="15.6" x14ac:dyDescent="0.3">
      <c r="A47" s="8" t="s">
        <v>60</v>
      </c>
      <c r="B47" s="12">
        <f>'Balance sheet'!B48/'Balance sheet'!$B$34</f>
        <v>2.2656198744724125E-2</v>
      </c>
      <c r="C47" s="12">
        <f>'Balance sheet'!C48/'Balance sheet'!$C$34</f>
        <v>2.2923662413252742E-2</v>
      </c>
      <c r="D47" s="12">
        <f>'Balance sheet'!D48/'Balance sheet'!$D$34</f>
        <v>2.9886937152846307E-2</v>
      </c>
      <c r="E47" s="12">
        <f>'Balance sheet'!E48/'Balance sheet'!$E$34</f>
        <v>2.7290160790677091E-2</v>
      </c>
      <c r="F47" s="12">
        <f>'Balance sheet'!F48/'Balance sheet'!$F$34</f>
        <v>2.7921136561322123E-2</v>
      </c>
      <c r="G47" s="12">
        <f>'Balance sheet'!G46/'Balance sheet'!$G$34</f>
        <v>5.4016925443591528E-3</v>
      </c>
      <c r="H47" s="12">
        <f>'Balance sheet'!H46/'Balance sheet'!$H$34</f>
        <v>4.7607354277797425E-3</v>
      </c>
      <c r="I47" s="5"/>
    </row>
    <row r="48" spans="1:17" ht="15.6" x14ac:dyDescent="0.3">
      <c r="A48" s="8" t="s">
        <v>61</v>
      </c>
      <c r="B48" s="12">
        <f>'Balance sheet'!B49/'Balance sheet'!$B$34</f>
        <v>3.9801430227218056E-3</v>
      </c>
      <c r="C48" s="12">
        <f>'Balance sheet'!C49/'Balance sheet'!$C$34</f>
        <v>4.7459144839937318E-3</v>
      </c>
      <c r="D48" s="12">
        <f>'Balance sheet'!D49/'Balance sheet'!$D$34</f>
        <v>5.3288972847999553E-3</v>
      </c>
      <c r="E48" s="12">
        <f>'Balance sheet'!E49/'Balance sheet'!$E$34</f>
        <v>5.8710724295618823E-3</v>
      </c>
      <c r="F48" s="12">
        <f>'Balance sheet'!F49/'Balance sheet'!$F$34</f>
        <v>5.7987822557262975E-3</v>
      </c>
      <c r="G48" s="12">
        <f>'Balance sheet'!G47/'Balance sheet'!$G$34</f>
        <v>1.037853286612826E-2</v>
      </c>
      <c r="H48" s="12">
        <f>'Balance sheet'!H47/'Balance sheet'!$H$34</f>
        <v>9.1470309904532129E-3</v>
      </c>
      <c r="I48" s="5"/>
    </row>
    <row r="49" spans="1:23" ht="15.6" x14ac:dyDescent="0.3">
      <c r="A49" s="8" t="s">
        <v>71</v>
      </c>
      <c r="B49" s="12">
        <f>'Balance sheet'!B50/'Balance sheet'!$B$34</f>
        <v>0</v>
      </c>
      <c r="C49" s="12">
        <f>'Balance sheet'!C50/'Balance sheet'!$C$34</f>
        <v>2.1087978509066487E-2</v>
      </c>
      <c r="D49" s="12">
        <f>'Balance sheet'!D50/'Balance sheet'!$D$34</f>
        <v>6.5243747709138072E-2</v>
      </c>
      <c r="E49" s="12">
        <f>'Balance sheet'!E50/'Balance sheet'!$E$34</f>
        <v>6.8181147661897035E-2</v>
      </c>
      <c r="F49" s="12">
        <f>'Balance sheet'!F50/'Balance sheet'!$F$34</f>
        <v>6.6454044650623365E-2</v>
      </c>
      <c r="G49" s="12">
        <f>'Balance sheet'!G48/'Balance sheet'!$G$34</f>
        <v>2.9223763596729575E-2</v>
      </c>
      <c r="H49" s="12">
        <f>'Balance sheet'!H48/'Balance sheet'!$H$34</f>
        <v>2.5756113578381416E-2</v>
      </c>
      <c r="I49" s="5"/>
    </row>
    <row r="50" spans="1:23" ht="15.6" x14ac:dyDescent="0.3">
      <c r="A50" s="41" t="s">
        <v>62</v>
      </c>
      <c r="B50" s="42">
        <f>'Balance sheet'!B51/'Balance sheet'!$B$34</f>
        <v>0.12111006626282066</v>
      </c>
      <c r="C50" s="42">
        <f>'Balance sheet'!C51/'Balance sheet'!$C$34</f>
        <v>9.6149541079023959E-2</v>
      </c>
      <c r="D50" s="42">
        <f>'Balance sheet'!D51/'Balance sheet'!$D$34</f>
        <v>0.14328812699128768</v>
      </c>
      <c r="E50" s="42">
        <f>'Balance sheet'!E51/'Balance sheet'!$E$34</f>
        <v>0.23186310665289867</v>
      </c>
      <c r="F50" s="42">
        <f>'Balance sheet'!F51/'Balance sheet'!$F$34</f>
        <v>0.28892432589156275</v>
      </c>
      <c r="G50" s="42">
        <f>'Balance sheet'!G49/'Balance sheet'!$G$34</f>
        <v>6.069317465572082E-3</v>
      </c>
      <c r="H50" s="42">
        <f>'Balance sheet'!H49/'Balance sheet'!$H$34</f>
        <v>5.3491409300895978E-3</v>
      </c>
      <c r="I50" s="5"/>
    </row>
    <row r="51" spans="1:23" ht="15.6" x14ac:dyDescent="0.3">
      <c r="A51" s="8"/>
      <c r="B51" s="12"/>
      <c r="C51" s="12"/>
      <c r="D51" s="12"/>
      <c r="E51" s="12"/>
      <c r="F51" s="12"/>
      <c r="G51" s="12"/>
      <c r="H51" s="12"/>
      <c r="I51" s="5"/>
    </row>
    <row r="52" spans="1:23" ht="15.6" x14ac:dyDescent="0.3">
      <c r="A52" s="9" t="s">
        <v>63</v>
      </c>
      <c r="B52" s="12"/>
      <c r="C52" s="12"/>
      <c r="D52" s="12"/>
      <c r="E52" s="12"/>
      <c r="F52" s="12"/>
      <c r="G52" s="12"/>
      <c r="H52" s="12"/>
      <c r="I52" s="5"/>
    </row>
    <row r="53" spans="1:23" ht="15.6" x14ac:dyDescent="0.3">
      <c r="A53" s="9" t="s">
        <v>64</v>
      </c>
      <c r="B53" s="12"/>
      <c r="C53" s="12"/>
      <c r="D53" s="12"/>
      <c r="E53" s="12"/>
      <c r="F53" s="12"/>
      <c r="G53" s="12"/>
      <c r="H53" s="12"/>
      <c r="I53" s="5"/>
    </row>
    <row r="54" spans="1:23" ht="15.6" x14ac:dyDescent="0.3">
      <c r="A54" s="9" t="s">
        <v>245</v>
      </c>
      <c r="B54" s="12">
        <f>'Balance sheet'!B55/'Balance sheet'!$B$34</f>
        <v>0</v>
      </c>
      <c r="C54" s="12">
        <f>'Balance sheet'!C55/'Balance sheet'!$C$34</f>
        <v>3.3579583613163198E-4</v>
      </c>
      <c r="D54" s="12">
        <f>'Balance sheet'!D55/'Balance sheet'!$D$34</f>
        <v>5.9209969831110611E-4</v>
      </c>
      <c r="E54" s="12">
        <f>'Balance sheet'!E55/'Balance sheet'!$E$34</f>
        <v>2.5962531346806314E-3</v>
      </c>
      <c r="F54" s="12">
        <f>'Balance sheet'!F55/'Balance sheet'!$F$34</f>
        <v>4.0011597564511454E-3</v>
      </c>
      <c r="G54" s="12">
        <f>'Balance sheet'!G53/'Balance sheet'!$G$34</f>
        <v>0</v>
      </c>
      <c r="H54" s="12">
        <f>'Balance sheet'!H53/'Balance sheet'!$H$34</f>
        <v>0</v>
      </c>
      <c r="I54" s="5"/>
    </row>
    <row r="55" spans="1:23" ht="15.6" x14ac:dyDescent="0.3">
      <c r="A55" s="8" t="s">
        <v>65</v>
      </c>
      <c r="B55" s="12">
        <f>'Balance sheet'!B56/'Balance sheet'!$B$34</f>
        <v>4.7258731165394627E-2</v>
      </c>
      <c r="C55" s="12">
        <f>'Balance sheet'!C56/'Balance sheet'!$C$34</f>
        <v>1.5939109021714797E-2</v>
      </c>
      <c r="D55" s="12">
        <f>'Balance sheet'!D56/'Balance sheet'!$D$34</f>
        <v>0.29156680858262612</v>
      </c>
      <c r="E55" s="12">
        <f>'Balance sheet'!E56/'Balance sheet'!$E$34</f>
        <v>0.12420711019324385</v>
      </c>
      <c r="F55" s="12">
        <f>'Balance sheet'!F56/'Balance sheet'!$F$34</f>
        <v>0.13514062046970135</v>
      </c>
      <c r="G55" s="12">
        <f>'Balance sheet'!G54/'Balance sheet'!$G$34</f>
        <v>0</v>
      </c>
      <c r="H55" s="12">
        <f>'Balance sheet'!H54/'Balance sheet'!$H$34</f>
        <v>0</v>
      </c>
      <c r="I55" s="5"/>
    </row>
    <row r="56" spans="1:23" ht="15.6" x14ac:dyDescent="0.3">
      <c r="A56" s="8" t="s">
        <v>57</v>
      </c>
      <c r="B56" s="12">
        <f>'Balance sheet'!B57/'Balance sheet'!$B$34</f>
        <v>0</v>
      </c>
      <c r="C56" s="12">
        <f>'Balance sheet'!C57/'Balance sheet'!$C$34</f>
        <v>6.268188941123797E-3</v>
      </c>
      <c r="D56" s="12">
        <f>'Balance sheet'!D57/'Balance sheet'!$D$34</f>
        <v>8.6559336848337897E-3</v>
      </c>
      <c r="E56" s="12">
        <f>'Balance sheet'!E57/'Balance sheet'!$E$34</f>
        <v>1.1771647735654226E-2</v>
      </c>
      <c r="F56" s="12">
        <f>'Balance sheet'!F57/'Balance sheet'!$F$34</f>
        <v>1.6497535517541316E-2</v>
      </c>
      <c r="G56" s="12">
        <f>'Balance sheet'!G55/'Balance sheet'!$G$34</f>
        <v>4.1878290512447364E-3</v>
      </c>
      <c r="H56" s="12">
        <f>'Balance sheet'!H55/'Balance sheet'!$H$34</f>
        <v>3.6909072417618226E-3</v>
      </c>
      <c r="I56" s="5"/>
    </row>
    <row r="57" spans="1:23" ht="15.6" x14ac:dyDescent="0.3">
      <c r="A57" s="8" t="s">
        <v>246</v>
      </c>
      <c r="B57" s="12"/>
      <c r="C57" s="12"/>
      <c r="D57" s="12"/>
      <c r="E57" s="12"/>
      <c r="F57" s="12"/>
      <c r="G57" s="12"/>
      <c r="H57" s="12"/>
      <c r="I57" s="5"/>
    </row>
    <row r="58" spans="1:23" ht="15.6" x14ac:dyDescent="0.3">
      <c r="A58" s="8" t="s">
        <v>58</v>
      </c>
      <c r="B58" s="12">
        <f>'Balance sheet'!B59/'Balance sheet'!$B$34</f>
        <v>8.3101887287598134E-4</v>
      </c>
      <c r="C58" s="12">
        <f>'Balance sheet'!C59/'Balance sheet'!$C$34</f>
        <v>4.5623460935751065E-2</v>
      </c>
      <c r="D58" s="12">
        <f>'Balance sheet'!D59/'Balance sheet'!$D$34</f>
        <v>5.8871627146361405E-2</v>
      </c>
      <c r="E58" s="12">
        <f>'Balance sheet'!E59/'Balance sheet'!$E$34</f>
        <v>6.2133057973152384E-2</v>
      </c>
      <c r="F58" s="12">
        <f>'Balance sheet'!F59/'Balance sheet'!$F$34</f>
        <v>6.3902580458103792E-2</v>
      </c>
      <c r="G58" s="12">
        <f>'Balance sheet'!G57/'Balance sheet'!$G$34</f>
        <v>1.7267208189552574E-2</v>
      </c>
      <c r="H58" s="12">
        <f>'Balance sheet'!H57/'Balance sheet'!$H$34</f>
        <v>1.5218305946104908E-2</v>
      </c>
      <c r="I58" s="5"/>
    </row>
    <row r="59" spans="1:23" ht="15.6" x14ac:dyDescent="0.3">
      <c r="A59" s="8" t="s">
        <v>66</v>
      </c>
      <c r="B59" s="12">
        <f>'Balance sheet'!B61/'Balance sheet'!$B$34</f>
        <v>3.2956458984844839E-2</v>
      </c>
      <c r="C59" s="12">
        <f>'Balance sheet'!C61/'Balance sheet'!$C$34</f>
        <v>0</v>
      </c>
      <c r="D59" s="12">
        <f>'Balance sheet'!D61/'Balance sheet'!$D$34</f>
        <v>0</v>
      </c>
      <c r="E59" s="12">
        <f>'Balance sheet'!E61/'Balance sheet'!$E$34</f>
        <v>0</v>
      </c>
      <c r="F59" s="12">
        <f>'Balance sheet'!F61/'Balance sheet'!$F$34</f>
        <v>0</v>
      </c>
      <c r="G59" s="12">
        <f>'Balance sheet'!G58/'Balance sheet'!$G$34</f>
        <v>0</v>
      </c>
      <c r="H59" s="12">
        <f>'Balance sheet'!H58/'Balance sheet'!$H$34</f>
        <v>0</v>
      </c>
      <c r="I59" s="5"/>
    </row>
    <row r="60" spans="1:23" ht="15.6" x14ac:dyDescent="0.3">
      <c r="A60" s="8" t="s">
        <v>59</v>
      </c>
      <c r="B60" s="12">
        <f>'Balance sheet'!B63/'Balance sheet'!$B$34</f>
        <v>4.3103636801014721E-2</v>
      </c>
      <c r="C60" s="12">
        <f>'Balance sheet'!C63/'Balance sheet'!$C$34</f>
        <v>4.2556525632415493E-2</v>
      </c>
      <c r="D60" s="12">
        <f>'Balance sheet'!D63/'Balance sheet'!$D$34</f>
        <v>6.8204246200693597E-2</v>
      </c>
      <c r="E60" s="12">
        <f>'Balance sheet'!E63/'Balance sheet'!$E$34</f>
        <v>4.171706741407287E-2</v>
      </c>
      <c r="F60" s="12">
        <f>'Balance sheet'!F63/'Balance sheet'!$F$34</f>
        <v>4.9782545665410266E-2</v>
      </c>
      <c r="G60" s="12">
        <f>'Balance sheet'!G59/'Balance sheet'!$G$34</f>
        <v>6.4840815279710922E-3</v>
      </c>
      <c r="H60" s="12">
        <f>'Balance sheet'!H59/'Balance sheet'!$H$34</f>
        <v>0.11056021083956515</v>
      </c>
      <c r="I60" s="5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</row>
    <row r="61" spans="1:23" ht="15.6" x14ac:dyDescent="0.3">
      <c r="A61" s="8" t="s">
        <v>67</v>
      </c>
      <c r="B61" s="12">
        <f>'Balance sheet'!B64/'Balance sheet'!$B$34</f>
        <v>4.2578782776040415E-2</v>
      </c>
      <c r="C61" s="12">
        <f>'Balance sheet'!C64/'Balance sheet'!$C$34</f>
        <v>1.9252294604880232E-2</v>
      </c>
      <c r="D61" s="12">
        <f>'Balance sheet'!D64/'Balance sheet'!$D$34</f>
        <v>4.756534243099219E-2</v>
      </c>
      <c r="E61" s="12">
        <f>'Balance sheet'!E64/'Balance sheet'!$E$34</f>
        <v>6.2723115503761612E-2</v>
      </c>
      <c r="F61" s="12">
        <f>'Balance sheet'!F64/'Balance sheet'!$F$34</f>
        <v>4.5781385908959117E-2</v>
      </c>
      <c r="G61" s="12">
        <f>'Balance sheet'!G60/'Balance sheet'!$G$34</f>
        <v>7.6773762336560762E-6</v>
      </c>
      <c r="H61" s="12">
        <f>'Balance sheet'!H60/'Balance sheet'!$H$34</f>
        <v>8.0744066463146955E-6</v>
      </c>
      <c r="I61" s="5"/>
      <c r="J61" s="46" t="s">
        <v>290</v>
      </c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</row>
    <row r="62" spans="1:23" ht="15.6" x14ac:dyDescent="0.3">
      <c r="A62" s="8" t="s">
        <v>72</v>
      </c>
      <c r="B62" s="12">
        <f>'Balance sheet'!B65/'Balance sheet'!$B$34</f>
        <v>0</v>
      </c>
      <c r="C62" s="12">
        <f>'Balance sheet'!C65/'Balance sheet'!$C$34</f>
        <v>5.7309156033131855E-3</v>
      </c>
      <c r="D62" s="12">
        <f>'Balance sheet'!D65/'Balance sheet'!$D$34</f>
        <v>1.5902106183212562E-2</v>
      </c>
      <c r="E62" s="12">
        <f>'Balance sheet'!E65/'Balance sheet'!$E$34</f>
        <v>1.407287210503024E-2</v>
      </c>
      <c r="F62" s="12">
        <f>'Balance sheet'!F65/'Balance sheet'!$F$34</f>
        <v>0</v>
      </c>
      <c r="G62" s="12">
        <f>'Balance sheet'!G61/'Balance sheet'!$G$34</f>
        <v>1.7200683103546931E-3</v>
      </c>
      <c r="H62" s="12">
        <f>'Balance sheet'!H61/'Balance sheet'!$H$34</f>
        <v>4.9155540237821056E-3</v>
      </c>
      <c r="I62" s="5"/>
      <c r="J62" s="46" t="s">
        <v>291</v>
      </c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</row>
    <row r="63" spans="1:23" ht="15.6" x14ac:dyDescent="0.3">
      <c r="A63" s="8" t="s">
        <v>61</v>
      </c>
      <c r="B63" s="12">
        <f>'Balance sheet'!B66/'Balance sheet'!$B$34</f>
        <v>1.5308242395083867E-3</v>
      </c>
      <c r="C63" s="12">
        <f>'Balance sheet'!C66/'Balance sheet'!$C$34</f>
        <v>7.1636445041414819E-4</v>
      </c>
      <c r="D63" s="12">
        <f>'Balance sheet'!D66/'Balance sheet'!$D$34</f>
        <v>7.3307581695660753E-4</v>
      </c>
      <c r="E63" s="12">
        <f>'Balance sheet'!E66/'Balance sheet'!$E$34</f>
        <v>6.195604071396961E-4</v>
      </c>
      <c r="F63" s="12">
        <f>'Balance sheet'!F66/'Balance sheet'!$F$34</f>
        <v>5.5088431429399824E-4</v>
      </c>
      <c r="G63" s="12">
        <f>'Balance sheet'!G62/'Balance sheet'!$G$34</f>
        <v>2.0366202228049714E-6</v>
      </c>
      <c r="H63" s="12">
        <f>'Balance sheet'!H62/'Balance sheet'!$H$34</f>
        <v>3.5899155562881422E-7</v>
      </c>
      <c r="I63" s="5"/>
      <c r="J63" s="46" t="s">
        <v>292</v>
      </c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</row>
    <row r="64" spans="1:23" ht="15.6" x14ac:dyDescent="0.3">
      <c r="A64" s="8" t="s">
        <v>68</v>
      </c>
      <c r="B64" s="12">
        <f>'Balance sheet'!B67/'Balance sheet'!$B$34</f>
        <v>3.9801430227218056E-3</v>
      </c>
      <c r="C64" s="12">
        <f>'Balance sheet'!C67/'Balance sheet'!$C$34</f>
        <v>0</v>
      </c>
      <c r="D64" s="12">
        <f>'Balance sheet'!D67/'Balance sheet'!$D$34</f>
        <v>0</v>
      </c>
      <c r="E64" s="12">
        <f>'Balance sheet'!E67/'Balance sheet'!$E$34</f>
        <v>0</v>
      </c>
      <c r="F64" s="12">
        <f>'Balance sheet'!F67/'Balance sheet'!$F$34</f>
        <v>9.0461003189330237E-3</v>
      </c>
      <c r="G64" s="12">
        <f>'Balance sheet'!G63/'Balance sheet'!$G$34</f>
        <v>5.2105090441936328E-2</v>
      </c>
      <c r="H64" s="12">
        <f>'Balance sheet'!H63/'Balance sheet'!$H$34</f>
        <v>4.5922374884819199E-2</v>
      </c>
      <c r="I64" s="5"/>
      <c r="J64" s="46" t="s">
        <v>293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</row>
    <row r="65" spans="1:23" ht="15.6" x14ac:dyDescent="0.3">
      <c r="A65" s="41" t="s">
        <v>69</v>
      </c>
      <c r="B65" s="42">
        <f>'Balance sheet'!B68/'Balance sheet'!$B$34</f>
        <v>0.17223959586240076</v>
      </c>
      <c r="C65" s="42">
        <f>'Balance sheet'!C68/'Balance sheet'!$C$34</f>
        <v>0.13642265502574435</v>
      </c>
      <c r="D65" s="42">
        <f>'Balance sheet'!D68/'Balance sheet'!$D$34</f>
        <v>0.49209123974398739</v>
      </c>
      <c r="E65" s="42">
        <f>'Balance sheet'!E68/'Balance sheet'!$E$34</f>
        <v>0.31984068446673553</v>
      </c>
      <c r="F65" s="42">
        <f>'Balance sheet'!F68/'Balance sheet'!$F$34</f>
        <v>0.32470281240939403</v>
      </c>
      <c r="G65" s="42">
        <f>'Balance sheet'!G64/'Balance sheet'!$G$34</f>
        <v>4.7917261390691586E-2</v>
      </c>
      <c r="H65" s="42">
        <f>'Balance sheet'!H64/'Balance sheet'!$H$34</f>
        <v>4.223146764305738E-2</v>
      </c>
      <c r="I65" s="5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</row>
    <row r="66" spans="1:23" ht="15.6" x14ac:dyDescent="0.3">
      <c r="A66" s="41" t="s">
        <v>47</v>
      </c>
      <c r="B66" s="42">
        <f>'Balance sheet'!B69/'Balance sheet'!$B$34</f>
        <v>1</v>
      </c>
      <c r="C66" s="42">
        <f>'Balance sheet'!C69/'Balance sheet'!$C$34</f>
        <v>1</v>
      </c>
      <c r="D66" s="42">
        <f>'Balance sheet'!D69/'Balance sheet'!$D$34</f>
        <v>1</v>
      </c>
      <c r="E66" s="42">
        <f>'Balance sheet'!E69/'Balance sheet'!$E$34</f>
        <v>1</v>
      </c>
      <c r="F66" s="42">
        <f>'Balance sheet'!F69/'Balance sheet'!$F$34</f>
        <v>1</v>
      </c>
      <c r="G66" s="42">
        <f ca="1">'Balance sheet'!G69/'Balance sheet'!$F$34</f>
        <v>0.90024394896194493</v>
      </c>
      <c r="H66" s="42">
        <f ca="1">'Balance sheet'!H69/'Balance sheet'!$F$34</f>
        <v>1.6129154322424266</v>
      </c>
      <c r="I66" s="5"/>
    </row>
    <row r="67" spans="1:23" ht="15.6" x14ac:dyDescent="0.3">
      <c r="A67" s="8"/>
      <c r="B67" s="12"/>
      <c r="C67" s="12"/>
      <c r="D67" s="8"/>
      <c r="E67" s="8"/>
      <c r="F67" s="8"/>
      <c r="G67" s="5"/>
      <c r="H67" s="5"/>
      <c r="I67" s="5"/>
    </row>
    <row r="68" spans="1:23" x14ac:dyDescent="0.3">
      <c r="B68" s="11"/>
      <c r="C68" s="5"/>
      <c r="D68" s="5"/>
      <c r="E68" s="5"/>
      <c r="F68" s="5"/>
      <c r="G68" s="5"/>
      <c r="H68" s="5"/>
      <c r="I68" s="5"/>
    </row>
    <row r="69" spans="1:23" x14ac:dyDescent="0.3">
      <c r="B69" s="11"/>
      <c r="C69" s="5"/>
      <c r="D69" s="5"/>
      <c r="E69" s="5"/>
      <c r="F69" s="5"/>
      <c r="G69" s="5"/>
      <c r="H69" s="5"/>
      <c r="I69" s="5"/>
    </row>
    <row r="70" spans="1:23" x14ac:dyDescent="0.3">
      <c r="B70" s="11"/>
      <c r="C70" s="5"/>
      <c r="D70" s="5"/>
      <c r="E70" s="5"/>
      <c r="F70" s="5"/>
      <c r="G70" s="5"/>
      <c r="H70" s="5"/>
      <c r="I70" s="5"/>
    </row>
    <row r="71" spans="1:23" x14ac:dyDescent="0.3">
      <c r="B71" s="11"/>
      <c r="C71" s="5"/>
      <c r="D71" s="5"/>
      <c r="E71" s="5"/>
      <c r="F71" s="5"/>
      <c r="G71" s="5"/>
      <c r="H71" s="5"/>
      <c r="I71" s="5"/>
    </row>
    <row r="72" spans="1:23" x14ac:dyDescent="0.3">
      <c r="B72" s="11"/>
      <c r="C72" s="5"/>
      <c r="D72" s="5"/>
      <c r="E72" s="5"/>
      <c r="F72" s="5"/>
      <c r="G72" s="5"/>
      <c r="H72" s="5"/>
      <c r="I72" s="5"/>
    </row>
    <row r="73" spans="1:23" x14ac:dyDescent="0.3">
      <c r="B73" s="11"/>
      <c r="C73" s="5"/>
      <c r="D73" s="5"/>
      <c r="E73" s="5"/>
      <c r="F73" s="5"/>
      <c r="G73" s="5"/>
      <c r="H73" s="5"/>
      <c r="I73" s="5"/>
    </row>
    <row r="74" spans="1:23" x14ac:dyDescent="0.3">
      <c r="B74" s="11"/>
      <c r="C74" s="5"/>
      <c r="D74" s="5"/>
      <c r="E74" s="5"/>
      <c r="F74" s="5"/>
      <c r="G74" s="5"/>
      <c r="H74" s="5"/>
      <c r="I74" s="5"/>
    </row>
    <row r="75" spans="1:23" x14ac:dyDescent="0.3">
      <c r="B75" s="11"/>
      <c r="C75" s="5"/>
      <c r="D75" s="5"/>
      <c r="E75" s="5"/>
      <c r="F75" s="5"/>
      <c r="G75" s="5"/>
      <c r="H75" s="5"/>
      <c r="I75" s="5"/>
    </row>
    <row r="76" spans="1:23" x14ac:dyDescent="0.3">
      <c r="B76" s="5"/>
      <c r="C76" s="5"/>
      <c r="D76" s="5"/>
      <c r="E76" s="5"/>
      <c r="F76" s="5"/>
      <c r="G76" s="5"/>
      <c r="H76" s="5"/>
      <c r="I76" s="5"/>
    </row>
    <row r="77" spans="1:23" x14ac:dyDescent="0.3">
      <c r="B77" s="5"/>
      <c r="C77" s="5"/>
      <c r="D77" s="5"/>
      <c r="E77" s="5"/>
      <c r="F77" s="5"/>
      <c r="G77" s="5"/>
      <c r="H77" s="5"/>
      <c r="I77" s="5"/>
    </row>
    <row r="78" spans="1:23" x14ac:dyDescent="0.3">
      <c r="B78" s="5"/>
      <c r="C78" s="5"/>
      <c r="D78" s="5"/>
      <c r="E78" s="5"/>
      <c r="F78" s="5"/>
      <c r="G78" s="5"/>
      <c r="H78" s="5"/>
      <c r="I78" s="5"/>
    </row>
    <row r="79" spans="1:23" x14ac:dyDescent="0.3">
      <c r="B79" s="5"/>
      <c r="C79" s="5"/>
      <c r="D79" s="5"/>
      <c r="E79" s="5"/>
      <c r="F79" s="5"/>
      <c r="G79" s="5"/>
      <c r="H79" s="5"/>
      <c r="I79" s="5"/>
    </row>
    <row r="80" spans="1:23" x14ac:dyDescent="0.3">
      <c r="B80" s="5"/>
      <c r="C80" s="5"/>
      <c r="D80" s="5"/>
      <c r="E80" s="5"/>
      <c r="F80" s="5"/>
      <c r="G80" s="5"/>
      <c r="H80" s="5"/>
      <c r="I80" s="5"/>
    </row>
    <row r="81" spans="2:9" x14ac:dyDescent="0.3">
      <c r="B81" s="5"/>
      <c r="C81" s="5"/>
      <c r="D81" s="5"/>
      <c r="E81" s="5"/>
      <c r="F81" s="5"/>
      <c r="G81" s="5"/>
      <c r="H81" s="5"/>
      <c r="I81" s="5"/>
    </row>
    <row r="82" spans="2:9" x14ac:dyDescent="0.3">
      <c r="B82" s="5"/>
      <c r="C82" s="5"/>
      <c r="D82" s="5"/>
      <c r="E82" s="5"/>
      <c r="F82" s="5"/>
      <c r="G82" s="5"/>
      <c r="H82" s="5"/>
      <c r="I82" s="5"/>
    </row>
    <row r="83" spans="2:9" x14ac:dyDescent="0.3">
      <c r="B83" s="5"/>
      <c r="C83" s="5"/>
      <c r="D83" s="5"/>
      <c r="E83" s="5"/>
      <c r="F83" s="5"/>
      <c r="G83" s="5"/>
      <c r="H83" s="5"/>
      <c r="I83" s="5"/>
    </row>
    <row r="84" spans="2:9" x14ac:dyDescent="0.3">
      <c r="B84" s="5"/>
      <c r="C84" s="5"/>
      <c r="D84" s="5"/>
      <c r="E84" s="5"/>
      <c r="F84" s="5"/>
      <c r="G84" s="5"/>
      <c r="H84" s="5"/>
      <c r="I84" s="5"/>
    </row>
    <row r="85" spans="2:9" x14ac:dyDescent="0.3">
      <c r="B85" s="5"/>
      <c r="C85" s="5"/>
      <c r="D85" s="5"/>
      <c r="E85" s="5"/>
      <c r="F85" s="5"/>
      <c r="G85" s="5"/>
      <c r="H85" s="5"/>
      <c r="I85" s="5"/>
    </row>
    <row r="86" spans="2:9" x14ac:dyDescent="0.3">
      <c r="B86" s="5"/>
      <c r="C86" s="5"/>
      <c r="D86" s="5"/>
      <c r="E86" s="5"/>
      <c r="F86" s="5"/>
      <c r="G86" s="5"/>
      <c r="H86" s="5"/>
      <c r="I86" s="5"/>
    </row>
    <row r="87" spans="2:9" x14ac:dyDescent="0.3">
      <c r="B87" s="5"/>
      <c r="C87" s="5"/>
      <c r="D87" s="5"/>
      <c r="E87" s="5"/>
      <c r="F87" s="5"/>
      <c r="G87" s="5"/>
      <c r="H87" s="5"/>
      <c r="I87" s="5"/>
    </row>
    <row r="88" spans="2:9" x14ac:dyDescent="0.3">
      <c r="B88" s="5"/>
      <c r="C88" s="5"/>
      <c r="D88" s="5"/>
      <c r="E88" s="5"/>
      <c r="F88" s="5"/>
      <c r="G88" s="5"/>
      <c r="H88" s="5"/>
      <c r="I88" s="5"/>
    </row>
    <row r="89" spans="2:9" x14ac:dyDescent="0.3">
      <c r="B89" s="5"/>
      <c r="C89" s="5"/>
      <c r="D89" s="5"/>
      <c r="E89" s="5"/>
      <c r="F89" s="5"/>
      <c r="G89" s="5"/>
      <c r="H89" s="5"/>
      <c r="I89" s="5"/>
    </row>
    <row r="90" spans="2:9" x14ac:dyDescent="0.3">
      <c r="B90" s="5"/>
      <c r="C90" s="5"/>
      <c r="D90" s="5"/>
      <c r="E90" s="5"/>
      <c r="F90" s="5"/>
      <c r="G90" s="5"/>
      <c r="H90" s="5"/>
      <c r="I90" s="5"/>
    </row>
    <row r="91" spans="2:9" x14ac:dyDescent="0.3">
      <c r="B91" s="5"/>
      <c r="C91" s="5"/>
      <c r="D91" s="5"/>
      <c r="E91" s="5"/>
      <c r="F91" s="5"/>
      <c r="G91" s="5"/>
      <c r="H91" s="5"/>
      <c r="I91" s="5"/>
    </row>
    <row r="92" spans="2:9" x14ac:dyDescent="0.3">
      <c r="B92" s="5"/>
      <c r="C92" s="5"/>
      <c r="D92" s="5"/>
      <c r="E92" s="5"/>
      <c r="F92" s="5"/>
      <c r="G92" s="5"/>
      <c r="H92" s="5"/>
      <c r="I92" s="5"/>
    </row>
    <row r="93" spans="2:9" x14ac:dyDescent="0.3">
      <c r="B93" s="5"/>
      <c r="C93" s="5"/>
      <c r="D93" s="5"/>
      <c r="E93" s="5"/>
      <c r="F93" s="5"/>
      <c r="G93" s="5"/>
      <c r="H93" s="5"/>
      <c r="I93" s="5"/>
    </row>
    <row r="94" spans="2:9" x14ac:dyDescent="0.3">
      <c r="B94" s="5"/>
      <c r="C94" s="5"/>
      <c r="D94" s="5"/>
      <c r="E94" s="5"/>
      <c r="F94" s="5"/>
      <c r="G94" s="5"/>
      <c r="H94" s="5"/>
      <c r="I94" s="5"/>
    </row>
    <row r="95" spans="2:9" x14ac:dyDescent="0.3">
      <c r="B95" s="5"/>
      <c r="C95" s="5"/>
      <c r="D95" s="5"/>
      <c r="E95" s="5"/>
      <c r="F95" s="5"/>
      <c r="G95" s="5"/>
      <c r="H95" s="5"/>
      <c r="I95" s="5"/>
    </row>
    <row r="96" spans="2:9" x14ac:dyDescent="0.3">
      <c r="B96" s="5"/>
      <c r="C96" s="5"/>
      <c r="D96" s="5"/>
      <c r="E96" s="5"/>
      <c r="F96" s="5"/>
      <c r="G96" s="5"/>
      <c r="H96" s="5"/>
      <c r="I96" s="5"/>
    </row>
    <row r="97" spans="2:9" x14ac:dyDescent="0.3">
      <c r="B97" s="5"/>
      <c r="C97" s="5"/>
      <c r="D97" s="5"/>
      <c r="E97" s="5"/>
      <c r="F97" s="5"/>
      <c r="G97" s="5"/>
      <c r="H97" s="5"/>
      <c r="I97" s="5"/>
    </row>
    <row r="98" spans="2:9" x14ac:dyDescent="0.3">
      <c r="B98" s="5"/>
      <c r="C98" s="5"/>
      <c r="D98" s="5"/>
      <c r="E98" s="5"/>
      <c r="F98" s="5"/>
      <c r="G98" s="5"/>
      <c r="H98" s="5"/>
      <c r="I98" s="5"/>
    </row>
    <row r="99" spans="2:9" x14ac:dyDescent="0.3">
      <c r="B99" s="5"/>
      <c r="C99" s="5"/>
      <c r="D99" s="5"/>
      <c r="E99" s="5"/>
      <c r="F99" s="5"/>
      <c r="G99" s="5"/>
      <c r="H99" s="5"/>
      <c r="I99" s="5"/>
    </row>
    <row r="100" spans="2:9" x14ac:dyDescent="0.3">
      <c r="B100" s="5"/>
      <c r="C100" s="5"/>
      <c r="D100" s="5"/>
      <c r="E100" s="5"/>
      <c r="F100" s="5"/>
      <c r="G100" s="5"/>
      <c r="H100" s="5"/>
      <c r="I100" s="5"/>
    </row>
    <row r="101" spans="2:9" x14ac:dyDescent="0.3">
      <c r="B101" s="5"/>
      <c r="C101" s="5"/>
      <c r="D101" s="5"/>
      <c r="E101" s="5"/>
      <c r="F101" s="5"/>
      <c r="G101" s="5"/>
      <c r="H101" s="5"/>
      <c r="I101" s="5"/>
    </row>
    <row r="102" spans="2:9" x14ac:dyDescent="0.3">
      <c r="B102" s="5"/>
    </row>
    <row r="103" spans="2:9" x14ac:dyDescent="0.3">
      <c r="B103" s="5"/>
    </row>
    <row r="104" spans="2:9" x14ac:dyDescent="0.3">
      <c r="B104" s="5"/>
    </row>
    <row r="105" spans="2:9" x14ac:dyDescent="0.3">
      <c r="B105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37A0-A787-4D90-B020-199B08061BBF}">
  <dimension ref="A2:R76"/>
  <sheetViews>
    <sheetView topLeftCell="A15" zoomScale="92" zoomScaleNormal="92" workbookViewId="0">
      <selection activeCell="J26" sqref="J26"/>
    </sheetView>
  </sheetViews>
  <sheetFormatPr defaultRowHeight="14.4" x14ac:dyDescent="0.3"/>
  <cols>
    <col min="1" max="1" width="35.44140625" customWidth="1"/>
    <col min="2" max="2" width="73" customWidth="1"/>
    <col min="3" max="9" width="13.5546875" bestFit="1" customWidth="1"/>
  </cols>
  <sheetData>
    <row r="2" spans="1:18" ht="17.399999999999999" x14ac:dyDescent="0.3">
      <c r="A2" s="1" t="s">
        <v>0</v>
      </c>
      <c r="B2" s="3" t="s">
        <v>133</v>
      </c>
      <c r="C2" s="2">
        <v>44286</v>
      </c>
      <c r="D2" s="2">
        <v>44651</v>
      </c>
      <c r="E2" s="2">
        <v>45016</v>
      </c>
      <c r="F2" s="2">
        <v>45382</v>
      </c>
      <c r="G2" s="2">
        <v>45747</v>
      </c>
      <c r="H2" s="2">
        <v>46112</v>
      </c>
      <c r="I2" s="2">
        <v>46477</v>
      </c>
    </row>
    <row r="3" spans="1:18" ht="17.399999999999999" x14ac:dyDescent="0.3">
      <c r="A3" s="1" t="s">
        <v>901</v>
      </c>
      <c r="B3" s="1"/>
      <c r="C3" s="3" t="s">
        <v>3</v>
      </c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  <c r="I3" s="3" t="s">
        <v>3</v>
      </c>
    </row>
    <row r="4" spans="1:18" ht="17.399999999999999" x14ac:dyDescent="0.3">
      <c r="A4" s="80"/>
      <c r="B4" s="1"/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203</v>
      </c>
      <c r="I4" s="3" t="s">
        <v>203</v>
      </c>
    </row>
    <row r="5" spans="1:18" ht="15.6" x14ac:dyDescent="0.3">
      <c r="A5" s="8"/>
      <c r="C5" s="8"/>
      <c r="D5" s="8"/>
      <c r="E5" s="8"/>
      <c r="F5" s="8"/>
      <c r="G5" s="8"/>
      <c r="H5" s="30"/>
      <c r="I5" s="30"/>
    </row>
    <row r="6" spans="1:18" ht="15.6" x14ac:dyDescent="0.3">
      <c r="A6" s="13" t="s">
        <v>129</v>
      </c>
      <c r="B6" s="13"/>
      <c r="C6" s="31">
        <f>8460000/10000000</f>
        <v>0.84599999999999997</v>
      </c>
      <c r="D6" s="8">
        <f>8450000/10000000</f>
        <v>0.84499999999999997</v>
      </c>
      <c r="E6" s="8">
        <f t="shared" ref="E6:G6" si="0">8450000/10000000</f>
        <v>0.84499999999999997</v>
      </c>
      <c r="F6" s="8">
        <f t="shared" si="0"/>
        <v>0.84499999999999997</v>
      </c>
      <c r="G6" s="8">
        <f t="shared" si="0"/>
        <v>0.84499999999999997</v>
      </c>
      <c r="H6" s="8">
        <f>G6</f>
        <v>0.84499999999999997</v>
      </c>
      <c r="I6" s="8">
        <f>H6</f>
        <v>0.84499999999999997</v>
      </c>
      <c r="J6" t="s">
        <v>216</v>
      </c>
      <c r="M6" s="82" t="s">
        <v>903</v>
      </c>
      <c r="N6" s="46"/>
      <c r="O6" s="46"/>
      <c r="P6" s="46"/>
      <c r="Q6" s="46"/>
      <c r="R6" s="46"/>
    </row>
    <row r="7" spans="1:18" ht="15.6" x14ac:dyDescent="0.3">
      <c r="A7" s="9" t="s">
        <v>131</v>
      </c>
      <c r="B7" s="9"/>
      <c r="C7" s="15">
        <v>21.3</v>
      </c>
      <c r="D7" s="15">
        <v>18</v>
      </c>
      <c r="E7" s="15">
        <v>75.5</v>
      </c>
      <c r="F7" s="15">
        <v>13</v>
      </c>
      <c r="G7" s="15">
        <v>29</v>
      </c>
      <c r="H7" s="32">
        <f ca="1">H8/H6</f>
        <v>0</v>
      </c>
      <c r="I7" s="32">
        <f ca="1">I8/I6</f>
        <v>74.283618376535472</v>
      </c>
      <c r="M7" s="46" t="s">
        <v>904</v>
      </c>
      <c r="N7" s="46"/>
      <c r="O7" s="46"/>
      <c r="P7" s="46"/>
      <c r="Q7" s="46"/>
      <c r="R7" s="46"/>
    </row>
    <row r="8" spans="1:18" ht="15.6" x14ac:dyDescent="0.3">
      <c r="A8" s="9" t="s">
        <v>130</v>
      </c>
      <c r="B8" s="9"/>
      <c r="C8" s="31">
        <f>C6*C7</f>
        <v>18.0198</v>
      </c>
      <c r="D8" s="31">
        <f t="shared" ref="D8:G8" si="1">D6*D7</f>
        <v>15.209999999999999</v>
      </c>
      <c r="E8" s="31">
        <f t="shared" si="1"/>
        <v>63.797499999999999</v>
      </c>
      <c r="F8" s="31">
        <f t="shared" si="1"/>
        <v>10.984999999999999</v>
      </c>
      <c r="G8" s="31">
        <f t="shared" si="1"/>
        <v>24.504999999999999</v>
      </c>
      <c r="H8" s="15">
        <f ca="1">H25*'P&amp;L '!G34</f>
        <v>0</v>
      </c>
      <c r="I8" s="15">
        <f ca="1">I25*'P&amp;L '!H34</f>
        <v>62.769657528172473</v>
      </c>
      <c r="J8" t="s">
        <v>217</v>
      </c>
      <c r="M8" s="46" t="s">
        <v>905</v>
      </c>
      <c r="N8" s="46"/>
      <c r="O8" s="46"/>
      <c r="P8" s="46"/>
      <c r="Q8" s="46"/>
      <c r="R8" s="46"/>
    </row>
    <row r="9" spans="1:18" ht="15.6" x14ac:dyDescent="0.3">
      <c r="A9" s="9" t="s">
        <v>132</v>
      </c>
      <c r="B9" s="9"/>
      <c r="C9" s="8">
        <v>264.45</v>
      </c>
      <c r="D9" s="8">
        <v>310.14999999999998</v>
      </c>
      <c r="E9" s="15">
        <v>292.3</v>
      </c>
      <c r="F9" s="15">
        <v>292.3</v>
      </c>
      <c r="G9" s="15">
        <v>461.9</v>
      </c>
      <c r="H9" s="15">
        <v>461.9</v>
      </c>
      <c r="I9" s="15">
        <v>461.9</v>
      </c>
      <c r="M9" s="46" t="s">
        <v>906</v>
      </c>
      <c r="N9" s="46"/>
      <c r="O9" s="46"/>
      <c r="P9" s="46"/>
      <c r="Q9" s="46"/>
      <c r="R9" s="46"/>
    </row>
    <row r="10" spans="1:18" ht="15.6" x14ac:dyDescent="0.3">
      <c r="A10" s="9"/>
      <c r="B10" s="9"/>
      <c r="C10" s="30"/>
      <c r="D10" s="30"/>
      <c r="E10" s="30"/>
      <c r="F10" s="30"/>
      <c r="G10" s="30"/>
      <c r="H10" s="30"/>
      <c r="I10" s="30"/>
      <c r="M10" s="46" t="s">
        <v>907</v>
      </c>
      <c r="N10" s="46"/>
      <c r="O10" s="46"/>
      <c r="P10" s="46"/>
      <c r="Q10" s="46"/>
      <c r="R10" s="46"/>
    </row>
    <row r="11" spans="1:18" ht="15.6" x14ac:dyDescent="0.3">
      <c r="A11" s="35" t="s">
        <v>134</v>
      </c>
      <c r="B11" s="79"/>
      <c r="C11" s="33"/>
      <c r="D11" s="33"/>
      <c r="E11" s="33"/>
      <c r="F11" s="33"/>
      <c r="G11" s="33"/>
      <c r="H11" s="33"/>
      <c r="I11" s="33"/>
      <c r="M11" s="46" t="s">
        <v>908</v>
      </c>
      <c r="N11" s="46"/>
      <c r="O11" s="46"/>
      <c r="P11" s="46"/>
      <c r="Q11" s="46"/>
      <c r="R11" s="46"/>
    </row>
    <row r="12" spans="1:18" ht="15.6" x14ac:dyDescent="0.3">
      <c r="A12" s="8" t="s">
        <v>135</v>
      </c>
      <c r="B12" s="8" t="s">
        <v>138</v>
      </c>
      <c r="C12" s="15">
        <f>'Balance sheet'!B33/'Balance sheet'!B68</f>
        <v>3.1193499238191977</v>
      </c>
      <c r="D12" s="15">
        <f>'Balance sheet'!C33/'Balance sheet'!C68</f>
        <v>3.9353462422054482</v>
      </c>
      <c r="E12" s="15">
        <f>'Balance sheet'!D33/'Balance sheet'!D68</f>
        <v>0.84822093622872863</v>
      </c>
      <c r="F12" s="15">
        <f>'Balance sheet'!E33/'Balance sheet'!E68</f>
        <v>1.1645604649017618</v>
      </c>
      <c r="G12" s="15">
        <f>'Balance sheet'!F33/'Balance sheet'!F68</f>
        <v>1.0381284043218144</v>
      </c>
      <c r="H12" s="15">
        <f>'Balance sheet'!G33/'Balance sheet'!G68</f>
        <v>1.070185176323142</v>
      </c>
      <c r="I12" s="15">
        <f>'Balance sheet'!H33/'Balance sheet'!H68</f>
        <v>1.0716499580216781</v>
      </c>
      <c r="M12" s="46" t="s">
        <v>909</v>
      </c>
      <c r="N12" s="46"/>
      <c r="O12" s="46"/>
      <c r="P12" s="46"/>
      <c r="Q12" s="46"/>
      <c r="R12" s="46"/>
    </row>
    <row r="13" spans="1:18" ht="15.6" x14ac:dyDescent="0.3">
      <c r="A13" s="8" t="s">
        <v>136</v>
      </c>
      <c r="B13" s="8" t="s">
        <v>140</v>
      </c>
      <c r="C13" s="15">
        <f>('Balance sheet'!B33-'Balance sheet'!B21)/'Balance sheet'!B68</f>
        <v>2.9384205180294565</v>
      </c>
      <c r="D13" s="15">
        <f>('Balance sheet'!C33-'Balance sheet'!C21)/'Balance sheet'!C68</f>
        <v>3.6148670823761075</v>
      </c>
      <c r="E13" s="15">
        <f>('Balance sheet'!D33-'Balance sheet'!D21)/'Balance sheet'!D68</f>
        <v>0.74153440669225923</v>
      </c>
      <c r="F13" s="15">
        <f>('Balance sheet'!E33-'Balance sheet'!E21)/'Balance sheet'!E68</f>
        <v>0.9869015773452634</v>
      </c>
      <c r="G13" s="15">
        <f>('Balance sheet'!F33-'Balance sheet'!F21)/'Balance sheet'!F68</f>
        <v>0.86945262969908033</v>
      </c>
      <c r="H13" s="15">
        <f>('Balance sheet'!G33-'Balance sheet'!G21)/'Balance sheet'!G68</f>
        <v>1.0436463004738836</v>
      </c>
      <c r="I13" s="15">
        <f>('Balance sheet'!H33-'Balance sheet'!H21)/'Balance sheet'!H68</f>
        <v>0.77719050003395052</v>
      </c>
      <c r="M13" s="46" t="s">
        <v>910</v>
      </c>
      <c r="N13" s="46"/>
      <c r="O13" s="46"/>
      <c r="P13" s="46"/>
      <c r="Q13" s="46"/>
      <c r="R13" s="46"/>
    </row>
    <row r="14" spans="1:18" ht="15.6" x14ac:dyDescent="0.3">
      <c r="A14" s="8" t="s">
        <v>137</v>
      </c>
      <c r="B14" s="8" t="s">
        <v>139</v>
      </c>
      <c r="C14" s="15">
        <f>('Balance sheet'!B27+'Balance sheet'!B28+'Balance sheet'!B24)/'Balance sheet'!B68</f>
        <v>2.8355764347384458</v>
      </c>
      <c r="D14" s="15">
        <f>('Balance sheet'!C27+'Balance sheet'!C28+'Balance sheet'!C24)/'Balance sheet'!C68</f>
        <v>3.415654742369544</v>
      </c>
      <c r="E14" s="15">
        <f>('Balance sheet'!D27+'Balance sheet'!D28+'Balance sheet'!D24)/'Balance sheet'!D68</f>
        <v>0.64527588380221168</v>
      </c>
      <c r="F14" s="15">
        <f>('Balance sheet'!E27+'Balance sheet'!E28+'Balance sheet'!E24)/'Balance sheet'!E68</f>
        <v>0.92694400885527162</v>
      </c>
      <c r="G14" s="15">
        <f>('Balance sheet'!F27+'Balance sheet'!F28+'Balance sheet'!F24)/'Balance sheet'!F68</f>
        <v>0.83275292436824722</v>
      </c>
      <c r="H14" s="15">
        <f>('Balance sheet'!G27+'Balance sheet'!G28+'Balance sheet'!G24)/'Balance sheet'!G68</f>
        <v>1.006546073265993</v>
      </c>
      <c r="I14" s="15">
        <f>('Balance sheet'!H27+'Balance sheet'!H28+'Balance sheet'!H24)/'Balance sheet'!H68</f>
        <v>0.70054226935064734</v>
      </c>
      <c r="M14" s="46" t="s">
        <v>911</v>
      </c>
      <c r="N14" s="46"/>
      <c r="O14" s="46"/>
      <c r="P14" s="46"/>
      <c r="Q14" s="46"/>
      <c r="R14" s="46"/>
    </row>
    <row r="15" spans="1:18" ht="15.6" x14ac:dyDescent="0.3">
      <c r="A15" s="8"/>
      <c r="B15" s="8"/>
      <c r="C15" s="8"/>
      <c r="D15" s="8"/>
      <c r="E15" s="8"/>
      <c r="F15" s="8"/>
      <c r="G15" s="8"/>
      <c r="H15" s="30"/>
      <c r="I15" s="30"/>
      <c r="M15" s="46" t="s">
        <v>912</v>
      </c>
      <c r="N15" s="46"/>
      <c r="O15" s="46"/>
      <c r="P15" s="46"/>
      <c r="Q15" s="46"/>
      <c r="R15" s="46"/>
    </row>
    <row r="16" spans="1:18" ht="15.6" x14ac:dyDescent="0.3">
      <c r="A16" s="35" t="s">
        <v>141</v>
      </c>
      <c r="B16" s="35"/>
      <c r="C16" s="33"/>
      <c r="D16" s="33"/>
      <c r="E16" s="33"/>
      <c r="F16" s="33"/>
      <c r="G16" s="33"/>
      <c r="H16" s="33"/>
      <c r="I16" s="33"/>
      <c r="M16" s="46" t="s">
        <v>913</v>
      </c>
      <c r="N16" s="46"/>
      <c r="O16" s="46"/>
      <c r="P16" s="46"/>
      <c r="Q16" s="46"/>
      <c r="R16" s="46"/>
    </row>
    <row r="17" spans="1:18" ht="15.6" x14ac:dyDescent="0.3">
      <c r="A17" s="8" t="s">
        <v>142</v>
      </c>
      <c r="B17" s="8" t="s">
        <v>146</v>
      </c>
      <c r="C17" s="34">
        <f>'Balance sheet'!B25/'P&amp;L '!B8*365</f>
        <v>6.7142404059625749</v>
      </c>
      <c r="D17" s="34">
        <f>'Balance sheet'!C25/'P&amp;L '!C8*365</f>
        <v>9.0774574505036476</v>
      </c>
      <c r="E17" s="34">
        <f>'Balance sheet'!D25/'P&amp;L '!D8*365</f>
        <v>4.1686703534503486</v>
      </c>
      <c r="F17" s="34">
        <f>'Balance sheet'!E25/'P&amp;L '!E8*365</f>
        <v>2.014635709707286</v>
      </c>
      <c r="G17" s="34">
        <f>'Balance sheet'!F25/'P&amp;L '!F8*365</f>
        <v>1.2924850942768076</v>
      </c>
      <c r="H17" s="34">
        <f>'Balance sheet'!G25/'P&amp;L '!G8*365</f>
        <v>4.6534978027801328</v>
      </c>
      <c r="I17" s="34">
        <f>'Balance sheet'!H25/'P&amp;L '!H8*365</f>
        <v>4.2413492821436449</v>
      </c>
      <c r="M17" s="46" t="s">
        <v>914</v>
      </c>
      <c r="N17" s="46"/>
      <c r="O17" s="46"/>
      <c r="P17" s="46"/>
      <c r="Q17" s="46"/>
      <c r="R17" s="46"/>
    </row>
    <row r="18" spans="1:18" ht="15.6" x14ac:dyDescent="0.3">
      <c r="A18" s="8" t="s">
        <v>143</v>
      </c>
      <c r="B18" s="8" t="s">
        <v>147</v>
      </c>
      <c r="C18" s="34">
        <f>('Balance sheet'!B59+'Balance sheet'!B61)/('P&amp;L '!B11+'P&amp;L '!B12)*365</f>
        <v>125.56780227120908</v>
      </c>
      <c r="D18" s="34">
        <f>('Balance sheet'!C59+'Balance sheet'!C61)/('P&amp;L '!C11+'P&amp;L '!C12)*365</f>
        <v>121.56724955058016</v>
      </c>
      <c r="E18" s="34">
        <f>('Balance sheet'!D59+'Balance sheet'!D61)/('P&amp;L '!D11+'P&amp;L '!D12)*365</f>
        <v>97.971461627458538</v>
      </c>
      <c r="F18" s="34">
        <f>('Balance sheet'!E59+'Balance sheet'!E61)/('P&amp;L '!E11+'P&amp;L '!E12)*365</f>
        <v>120.86320754716981</v>
      </c>
      <c r="G18" s="34">
        <f>('Balance sheet'!F59+'Balance sheet'!F61)/('P&amp;L '!F11+'P&amp;L '!F12)*365</f>
        <v>118.21601763409258</v>
      </c>
      <c r="H18" s="34">
        <f>('Balance sheet'!G59+'Balance sheet'!G61)/('P&amp;L '!G11+'P&amp;L '!G12)*365</f>
        <v>116.83714772610203</v>
      </c>
      <c r="I18" s="34">
        <f>('Balance sheet'!H59+'Balance sheet'!H61)/('P&amp;L '!H11+'P&amp;L '!H12)*365</f>
        <v>115.09101681708064</v>
      </c>
      <c r="M18" s="46" t="s">
        <v>915</v>
      </c>
      <c r="N18" s="46"/>
      <c r="O18" s="46"/>
      <c r="P18" s="46"/>
      <c r="Q18" s="46"/>
      <c r="R18" s="46"/>
    </row>
    <row r="19" spans="1:18" ht="15.6" x14ac:dyDescent="0.3">
      <c r="A19" s="8" t="s">
        <v>144</v>
      </c>
      <c r="B19" s="8" t="s">
        <v>148</v>
      </c>
      <c r="C19" s="34">
        <f>'Balance sheet'!B21/'P&amp;L '!B10*365</f>
        <v>109.96300211416491</v>
      </c>
      <c r="D19" s="34">
        <f>'Balance sheet'!C21/'P&amp;L '!C10*365</f>
        <v>122.04160246533128</v>
      </c>
      <c r="E19" s="34">
        <f>'Balance sheet'!D21/'P&amp;L '!D10*365</f>
        <v>89.003404924044005</v>
      </c>
      <c r="F19" s="34">
        <f>'Balance sheet'!E21/'P&amp;L '!E10*365</f>
        <v>113.33064646138965</v>
      </c>
      <c r="G19" s="34">
        <f>'Balance sheet'!F21/'P&amp;L '!F10*365</f>
        <v>102.2823023290313</v>
      </c>
      <c r="H19" s="34">
        <f>'Balance sheet'!G21/'P&amp;L '!G10*365</f>
        <v>107.32419165879224</v>
      </c>
      <c r="I19" s="34">
        <f>'Balance sheet'!H21/'P&amp;L '!H10*365</f>
        <v>106.79642956771769</v>
      </c>
      <c r="M19" s="83" t="s">
        <v>1014</v>
      </c>
      <c r="N19" s="81"/>
      <c r="O19" s="47"/>
      <c r="P19" s="47"/>
      <c r="Q19" s="47"/>
      <c r="R19" s="47"/>
    </row>
    <row r="20" spans="1:18" ht="15.6" x14ac:dyDescent="0.3">
      <c r="A20" s="8" t="s">
        <v>145</v>
      </c>
      <c r="B20" s="8" t="s">
        <v>149</v>
      </c>
      <c r="C20" s="34">
        <f>C17+C19</f>
        <v>116.67724252012748</v>
      </c>
      <c r="D20" s="34">
        <f t="shared" ref="D20:I20" si="2">D17+D19</f>
        <v>131.11905991583492</v>
      </c>
      <c r="E20" s="34">
        <f t="shared" si="2"/>
        <v>93.172075277494358</v>
      </c>
      <c r="F20" s="34">
        <f t="shared" si="2"/>
        <v>115.34528217109694</v>
      </c>
      <c r="G20" s="34">
        <f t="shared" si="2"/>
        <v>103.57478742330811</v>
      </c>
      <c r="H20" s="34">
        <f t="shared" si="2"/>
        <v>111.97768946157238</v>
      </c>
      <c r="I20" s="34">
        <f t="shared" si="2"/>
        <v>111.03777884986134</v>
      </c>
      <c r="J20" s="14"/>
      <c r="M20" s="47" t="s">
        <v>916</v>
      </c>
      <c r="N20" s="47"/>
      <c r="O20" s="47"/>
      <c r="P20" s="47"/>
      <c r="Q20" s="47"/>
      <c r="R20" s="47"/>
    </row>
    <row r="21" spans="1:18" ht="15.6" x14ac:dyDescent="0.3">
      <c r="A21" s="8"/>
      <c r="B21" s="8"/>
      <c r="C21" s="30"/>
      <c r="D21" s="30"/>
      <c r="E21" s="30"/>
      <c r="F21" s="30"/>
      <c r="G21" s="30"/>
      <c r="H21" s="30"/>
      <c r="I21" s="30"/>
      <c r="M21" s="47" t="s">
        <v>917</v>
      </c>
      <c r="N21" s="47"/>
      <c r="O21" s="47"/>
      <c r="P21" s="47"/>
      <c r="Q21" s="47"/>
      <c r="R21" s="47"/>
    </row>
    <row r="22" spans="1:18" ht="15.6" x14ac:dyDescent="0.3">
      <c r="A22" s="35" t="s">
        <v>150</v>
      </c>
      <c r="B22" s="35"/>
      <c r="C22" s="35"/>
      <c r="D22" s="35"/>
      <c r="E22" s="35"/>
      <c r="F22" s="35"/>
      <c r="G22" s="35"/>
      <c r="H22" s="33"/>
      <c r="I22" s="33"/>
      <c r="M22" s="47" t="s">
        <v>918</v>
      </c>
      <c r="N22" s="47"/>
      <c r="O22" s="47"/>
      <c r="P22" s="47"/>
      <c r="Q22" s="47"/>
      <c r="R22" s="47"/>
    </row>
    <row r="23" spans="1:18" ht="15.6" x14ac:dyDescent="0.3">
      <c r="A23" s="8" t="s">
        <v>151</v>
      </c>
      <c r="B23" s="8" t="s">
        <v>159</v>
      </c>
      <c r="C23" s="15">
        <f>'P&amp;L '!B34/'Ratio Analysis'!C6</f>
        <v>14364.066193853429</v>
      </c>
      <c r="D23" s="15">
        <f>'P&amp;L '!C34/'Ratio Analysis'!D6</f>
        <v>10788.165680473374</v>
      </c>
      <c r="E23" s="15">
        <f>'P&amp;L '!D34/'Ratio Analysis'!E6</f>
        <v>11461.538461538463</v>
      </c>
      <c r="F23" s="15">
        <f>'P&amp;L '!E34/'Ratio Analysis'!F6</f>
        <v>8176.3313609467459</v>
      </c>
      <c r="G23" s="15">
        <f>'P&amp;L '!F34/'Ratio Analysis'!G6</f>
        <v>11117.15976331361</v>
      </c>
      <c r="H23" s="15">
        <f>'P&amp;L '!G34/'Ratio Analysis'!H6</f>
        <v>-1783.3544984175642</v>
      </c>
      <c r="I23" s="15">
        <f>'P&amp;L '!H34/'Ratio Analysis'!I6</f>
        <v>24368.535723150366</v>
      </c>
      <c r="M23" s="47" t="s">
        <v>919</v>
      </c>
      <c r="N23" s="47"/>
      <c r="O23" s="47"/>
      <c r="P23" s="47"/>
      <c r="Q23" s="47"/>
      <c r="R23" s="47"/>
    </row>
    <row r="24" spans="1:18" ht="15.6" x14ac:dyDescent="0.3">
      <c r="A24" s="8" t="s">
        <v>152</v>
      </c>
      <c r="B24" s="8" t="s">
        <v>160</v>
      </c>
      <c r="C24" s="15">
        <f>C8/C6</f>
        <v>21.3</v>
      </c>
      <c r="D24" s="15">
        <f t="shared" ref="D24:I24" si="3">D8/D6</f>
        <v>18</v>
      </c>
      <c r="E24" s="15">
        <f t="shared" si="3"/>
        <v>75.5</v>
      </c>
      <c r="F24" s="15">
        <f t="shared" si="3"/>
        <v>13</v>
      </c>
      <c r="G24" s="15">
        <f t="shared" si="3"/>
        <v>29</v>
      </c>
      <c r="H24" s="15">
        <f t="shared" ca="1" si="3"/>
        <v>0</v>
      </c>
      <c r="I24" s="15">
        <f t="shared" ca="1" si="3"/>
        <v>74.283618376535472</v>
      </c>
      <c r="M24" s="47" t="s">
        <v>920</v>
      </c>
      <c r="N24" s="47"/>
      <c r="O24" s="47"/>
      <c r="P24" s="47"/>
      <c r="Q24" s="47"/>
      <c r="R24" s="47"/>
    </row>
    <row r="25" spans="1:18" ht="15.6" x14ac:dyDescent="0.3">
      <c r="A25" s="8" t="s">
        <v>153</v>
      </c>
      <c r="B25" s="8" t="s">
        <v>161</v>
      </c>
      <c r="C25" s="28">
        <f>C24/C23</f>
        <v>1.4828670177748518E-3</v>
      </c>
      <c r="D25" s="28">
        <f t="shared" ref="D25:I25" si="4">D24/D23</f>
        <v>1.668494953927161E-3</v>
      </c>
      <c r="E25" s="28">
        <f t="shared" si="4"/>
        <v>6.5872483221476501E-3</v>
      </c>
      <c r="F25" s="28">
        <f t="shared" si="4"/>
        <v>1.5899551309885656E-3</v>
      </c>
      <c r="G25" s="28">
        <f t="shared" si="4"/>
        <v>2.6085799446455183E-3</v>
      </c>
      <c r="H25" s="28">
        <f t="shared" ca="1" si="4"/>
        <v>2.6085799446455183E-3</v>
      </c>
      <c r="I25" s="28">
        <f t="shared" ca="1" si="4"/>
        <v>2.6085799446455183E-3</v>
      </c>
      <c r="M25" s="47" t="s">
        <v>921</v>
      </c>
      <c r="N25" s="47"/>
      <c r="O25" s="47"/>
      <c r="P25" s="47"/>
      <c r="Q25" s="47"/>
      <c r="R25" s="47"/>
    </row>
    <row r="26" spans="1:18" ht="15.6" x14ac:dyDescent="0.3">
      <c r="A26" s="8" t="s">
        <v>154</v>
      </c>
      <c r="B26" s="8" t="s">
        <v>162</v>
      </c>
      <c r="C26" s="29">
        <f>1-C25</f>
        <v>0.99851713298222511</v>
      </c>
      <c r="D26" s="29">
        <f t="shared" ref="D26:I26" si="5">1-D25</f>
        <v>0.99833150504607282</v>
      </c>
      <c r="E26" s="29">
        <f t="shared" si="5"/>
        <v>0.99341275167785237</v>
      </c>
      <c r="F26" s="29">
        <f t="shared" si="5"/>
        <v>0.99841004486901141</v>
      </c>
      <c r="G26" s="29">
        <f t="shared" si="5"/>
        <v>0.99739142005535453</v>
      </c>
      <c r="H26" s="29">
        <f t="shared" ca="1" si="5"/>
        <v>1</v>
      </c>
      <c r="I26" s="29">
        <f t="shared" ca="1" si="5"/>
        <v>0.99695165851487888</v>
      </c>
      <c r="M26" s="47" t="s">
        <v>922</v>
      </c>
      <c r="N26" s="47"/>
      <c r="O26" s="47"/>
      <c r="P26" s="47"/>
      <c r="Q26" s="47"/>
      <c r="R26" s="47"/>
    </row>
    <row r="27" spans="1:18" ht="15.6" x14ac:dyDescent="0.3">
      <c r="A27" s="8" t="s">
        <v>155</v>
      </c>
      <c r="B27" s="8" t="s">
        <v>163</v>
      </c>
      <c r="C27" s="12">
        <f>'P&amp;L '!B19/'P&amp;L '!B8</f>
        <v>0.71786507181369219</v>
      </c>
      <c r="D27" s="12">
        <f>'P&amp;L '!C19/'P&amp;L '!C8</f>
        <v>0.54098645362973252</v>
      </c>
      <c r="E27" s="12">
        <f>'P&amp;L '!D19/'P&amp;L '!D8</f>
        <v>0.50132243327723014</v>
      </c>
      <c r="F27" s="12">
        <f>'P&amp;L '!E19/'P&amp;L '!E8</f>
        <v>0.45602165087956698</v>
      </c>
      <c r="G27" s="12">
        <f>'P&amp;L '!F19/'P&amp;L '!F8</f>
        <v>0.49471868284858206</v>
      </c>
      <c r="H27" s="12">
        <f>'P&amp;L '!G19/'P&amp;L '!G8</f>
        <v>0.49932118480030407</v>
      </c>
      <c r="I27" s="12">
        <f>'P&amp;L '!H19/'P&amp;L '!H8</f>
        <v>0.49847408108708313</v>
      </c>
      <c r="J27" s="11"/>
      <c r="M27" s="47" t="s">
        <v>923</v>
      </c>
      <c r="N27" s="47"/>
      <c r="O27" s="47"/>
      <c r="P27" s="47"/>
      <c r="Q27" s="47"/>
      <c r="R27" s="47"/>
    </row>
    <row r="28" spans="1:18" ht="15.6" x14ac:dyDescent="0.3">
      <c r="A28" s="8" t="s">
        <v>156</v>
      </c>
      <c r="B28" s="8" t="s">
        <v>164</v>
      </c>
      <c r="C28" s="12">
        <f>'P&amp;L '!B25/'P&amp;L '!B8</f>
        <v>0.68560554573875221</v>
      </c>
      <c r="D28" s="12">
        <f>'P&amp;L '!C25/'P&amp;L '!C8</f>
        <v>0.48200764154220216</v>
      </c>
      <c r="E28" s="12">
        <f>'P&amp;L '!D25/'P&amp;L '!D8</f>
        <v>0.44466818946862224</v>
      </c>
      <c r="F28" s="12">
        <f>'P&amp;L '!E25/'P&amp;L '!E8</f>
        <v>0.37077131258457374</v>
      </c>
      <c r="G28" s="12">
        <f>'P&amp;L '!F25/'P&amp;L '!F8</f>
        <v>0.41430344117914109</v>
      </c>
      <c r="H28" s="12">
        <f>'P&amp;L '!G25/'P&amp;L '!G8</f>
        <v>-0.26667911058794108</v>
      </c>
      <c r="I28" s="12">
        <f>'P&amp;L '!H25/'P&amp;L '!H8</f>
        <v>0.44320116288293798</v>
      </c>
      <c r="M28" s="47" t="s">
        <v>924</v>
      </c>
      <c r="N28" s="47"/>
      <c r="O28" s="47"/>
      <c r="P28" s="47"/>
      <c r="Q28" s="47"/>
      <c r="R28" s="47"/>
    </row>
    <row r="29" spans="1:18" ht="15.6" x14ac:dyDescent="0.3">
      <c r="A29" s="8" t="s">
        <v>157</v>
      </c>
      <c r="B29" s="8" t="s">
        <v>165</v>
      </c>
      <c r="C29" s="12">
        <f>'P&amp;L '!B29/'P&amp;L '!B8</f>
        <v>0.66811653300711338</v>
      </c>
      <c r="D29" s="12">
        <f>'P&amp;L '!C29/'P&amp;L '!C8</f>
        <v>0.47193469954845435</v>
      </c>
      <c r="E29" s="12">
        <f>'P&amp;L '!D29/'P&amp;L '!D8</f>
        <v>0.4346597739841308</v>
      </c>
      <c r="F29" s="12">
        <f>'P&amp;L '!E29/'P&amp;L '!E8</f>
        <v>0.33676376326472474</v>
      </c>
      <c r="G29" s="12">
        <f>'P&amp;L '!F29/'P&amp;L '!F8</f>
        <v>0.38116279773614598</v>
      </c>
      <c r="H29" s="12">
        <f>'P&amp;L '!G29/'P&amp;L '!G8</f>
        <v>-0.49095328826874041</v>
      </c>
      <c r="I29" s="12">
        <f>'P&amp;L '!H29/'P&amp;L '!H8</f>
        <v>0.42849461305469277</v>
      </c>
      <c r="J29" s="11"/>
      <c r="M29" s="47" t="s">
        <v>925</v>
      </c>
      <c r="N29" s="47"/>
      <c r="O29" s="47"/>
      <c r="P29" s="47"/>
      <c r="Q29" s="47"/>
      <c r="R29" s="47"/>
    </row>
    <row r="30" spans="1:18" ht="15.6" x14ac:dyDescent="0.3">
      <c r="A30" s="8" t="s">
        <v>158</v>
      </c>
      <c r="B30" s="8" t="s">
        <v>166</v>
      </c>
      <c r="C30" s="12">
        <f>'P&amp;L '!B34/'P&amp;L '!B8</f>
        <v>0.55058674278464959</v>
      </c>
      <c r="D30" s="12">
        <f>'P&amp;L '!C34/'P&amp;L '!C8</f>
        <v>0.31663772143105245</v>
      </c>
      <c r="E30" s="12">
        <f>'P&amp;L '!D34/'P&amp;L '!D8</f>
        <v>0.29108559749939888</v>
      </c>
      <c r="F30" s="12">
        <f>'P&amp;L '!E34/'P&amp;L '!E8</f>
        <v>0.2460294850794103</v>
      </c>
      <c r="G30" s="12">
        <f>'P&amp;L '!F34/'P&amp;L '!F8</f>
        <v>0.28431342877031568</v>
      </c>
      <c r="H30" s="12">
        <f>'P&amp;L '!G34/'P&amp;L '!G8</f>
        <v>-0.38620532334576529</v>
      </c>
      <c r="I30" s="12">
        <f>'P&amp;L '!H34/'P&amp;L '!H8</f>
        <v>0.32940612115878481</v>
      </c>
      <c r="M30" s="47" t="s">
        <v>926</v>
      </c>
      <c r="N30" s="47"/>
      <c r="O30" s="47"/>
      <c r="P30" s="47"/>
      <c r="Q30" s="47"/>
      <c r="R30" s="47"/>
    </row>
    <row r="31" spans="1:18" ht="15.6" x14ac:dyDescent="0.3">
      <c r="A31" s="8"/>
      <c r="B31" s="8"/>
      <c r="C31" s="30"/>
      <c r="D31" s="30"/>
      <c r="E31" s="30"/>
      <c r="F31" s="30"/>
      <c r="G31" s="30"/>
      <c r="H31" s="30"/>
      <c r="I31" s="30"/>
      <c r="M31" s="47" t="s">
        <v>927</v>
      </c>
      <c r="N31" s="47"/>
      <c r="O31" s="47"/>
      <c r="P31" s="47"/>
      <c r="Q31" s="47"/>
      <c r="R31" s="47"/>
    </row>
    <row r="32" spans="1:18" ht="15.6" x14ac:dyDescent="0.3">
      <c r="A32" s="35" t="s">
        <v>167</v>
      </c>
      <c r="B32" s="35"/>
      <c r="C32" s="35"/>
      <c r="D32" s="35"/>
      <c r="E32" s="35"/>
      <c r="F32" s="35"/>
      <c r="G32" s="35"/>
      <c r="H32" s="33"/>
      <c r="I32" s="33"/>
      <c r="M32" s="47" t="s">
        <v>928</v>
      </c>
      <c r="N32" s="47"/>
      <c r="O32" s="47"/>
      <c r="P32" s="47"/>
      <c r="Q32" s="47"/>
      <c r="R32" s="47"/>
    </row>
    <row r="33" spans="1:18" ht="15.6" x14ac:dyDescent="0.3">
      <c r="A33" s="8" t="s">
        <v>168</v>
      </c>
      <c r="B33" s="8" t="s">
        <v>170</v>
      </c>
      <c r="C33" s="36">
        <f>('Balance sheet'!B45)/'Balance sheet'!B40</f>
        <v>0.1334447436016464</v>
      </c>
      <c r="D33" s="36">
        <f>('Balance sheet'!C45)/'Balance sheet'!C40</f>
        <v>6.1579300487150317E-2</v>
      </c>
      <c r="E33" s="36">
        <f>('Balance sheet'!D45)/'Balance sheet'!D40</f>
        <v>0.11599133931333128</v>
      </c>
      <c r="F33" s="36">
        <f>('Balance sheet'!E45)/'Balance sheet'!E40</f>
        <v>0.27943402435011516</v>
      </c>
      <c r="G33" s="36">
        <f>('Balance sheet'!F45)/'Balance sheet'!F40</f>
        <v>0.4494972234729101</v>
      </c>
      <c r="H33" s="36">
        <f ca="1">('Balance sheet'!G45)/'Balance sheet'!G40</f>
        <v>0.50680826042716753</v>
      </c>
      <c r="I33" s="36">
        <f ca="1">('Balance sheet'!H45)/'Balance sheet'!H40</f>
        <v>0.18515136183016195</v>
      </c>
      <c r="M33" s="47" t="s">
        <v>929</v>
      </c>
      <c r="N33" s="47"/>
      <c r="O33" s="47"/>
      <c r="P33" s="47"/>
      <c r="Q33" s="47"/>
      <c r="R33" s="47"/>
    </row>
    <row r="34" spans="1:18" ht="15.6" x14ac:dyDescent="0.3">
      <c r="A34" s="8" t="s">
        <v>169</v>
      </c>
      <c r="B34" s="8" t="s">
        <v>171</v>
      </c>
      <c r="C34" s="15">
        <f>'P&amp;L '!B25/'P&amp;L '!B27</f>
        <v>39.202072538860101</v>
      </c>
      <c r="D34" s="15">
        <f>'P&amp;L '!C25/'P&amp;L '!C27</f>
        <v>47.851724137931036</v>
      </c>
      <c r="E34" s="15">
        <f>'P&amp;L '!D25/'P&amp;L '!D27</f>
        <v>44.429429429429426</v>
      </c>
      <c r="F34" s="15">
        <f>'P&amp;L '!E25/'P&amp;L '!E27</f>
        <v>10.902617801047121</v>
      </c>
      <c r="G34" s="15">
        <f>'P&amp;L '!F25/'P&amp;L '!F27</f>
        <v>12.501369863013698</v>
      </c>
      <c r="H34" s="15">
        <f>'P&amp;L '!G25/'P&amp;L '!G27</f>
        <v>-1.18907630537607</v>
      </c>
      <c r="I34" s="15">
        <f>'P&amp;L '!H25/'P&amp;L '!H27</f>
        <v>30.136311239481273</v>
      </c>
      <c r="M34" s="47" t="s">
        <v>930</v>
      </c>
      <c r="N34" s="47"/>
      <c r="O34" s="47"/>
      <c r="P34" s="47"/>
      <c r="Q34" s="47"/>
      <c r="R34" s="47"/>
    </row>
    <row r="35" spans="1:18" ht="15.6" x14ac:dyDescent="0.3">
      <c r="A35" s="8"/>
      <c r="B35" s="8"/>
      <c r="C35" s="8"/>
      <c r="D35" s="8"/>
      <c r="E35" s="8"/>
      <c r="F35" s="8"/>
      <c r="G35" s="8"/>
      <c r="H35" s="30"/>
      <c r="I35" s="30"/>
      <c r="M35" s="47" t="s">
        <v>931</v>
      </c>
      <c r="N35" s="47"/>
      <c r="O35" s="47"/>
      <c r="P35" s="47"/>
      <c r="Q35" s="47"/>
      <c r="R35" s="47"/>
    </row>
    <row r="36" spans="1:18" ht="15.6" x14ac:dyDescent="0.3">
      <c r="A36" s="35" t="s">
        <v>172</v>
      </c>
      <c r="B36" s="35"/>
      <c r="C36" s="35"/>
      <c r="D36" s="35"/>
      <c r="E36" s="35"/>
      <c r="F36" s="35"/>
      <c r="G36" s="35"/>
      <c r="H36" s="33"/>
      <c r="I36" s="33"/>
    </row>
    <row r="37" spans="1:18" ht="15.6" x14ac:dyDescent="0.3">
      <c r="A37" s="8" t="s">
        <v>173</v>
      </c>
      <c r="B37" s="8" t="s">
        <v>177</v>
      </c>
      <c r="C37" s="12">
        <f>'P&amp;L '!B34/'Balance sheet'!B40</f>
        <v>0.37607155015009441</v>
      </c>
      <c r="D37" s="12">
        <f>'P&amp;L '!C34/'Balance sheet'!C40</f>
        <v>0.26591989731921473</v>
      </c>
      <c r="E37" s="12">
        <f>'P&amp;L '!D34/'Balance sheet'!D40</f>
        <v>0.74891741416640889</v>
      </c>
      <c r="F37" s="12">
        <f>'P&amp;L '!E34/'Balance sheet'!E40</f>
        <v>0.45468904244817376</v>
      </c>
      <c r="G37" s="12">
        <f>'P&amp;L '!F34/'Balance sheet'!F40</f>
        <v>0.70493771574365904</v>
      </c>
      <c r="H37" s="12">
        <f ca="1">'P&amp;L '!G34/'Balance sheet'!G40</f>
        <v>-0.12750031359806915</v>
      </c>
      <c r="I37" s="12">
        <f ca="1">'P&amp;L '!H34/'Balance sheet'!H40</f>
        <v>0.6364821537280908</v>
      </c>
    </row>
    <row r="38" spans="1:18" ht="15.6" x14ac:dyDescent="0.3">
      <c r="A38" s="8" t="s">
        <v>174</v>
      </c>
      <c r="B38" s="8" t="s">
        <v>178</v>
      </c>
      <c r="C38" s="15">
        <f>'Balance sheet'!B45+'Balance sheet'!B40</f>
        <v>36625</v>
      </c>
      <c r="D38" s="15">
        <f>'Balance sheet'!C45+'Balance sheet'!C40</f>
        <v>36392</v>
      </c>
      <c r="E38" s="15">
        <f>'Balance sheet'!D45+'Balance sheet'!D40</f>
        <v>14432</v>
      </c>
      <c r="F38" s="15">
        <f>'Balance sheet'!E45+'Balance sheet'!E40</f>
        <v>19441</v>
      </c>
      <c r="G38" s="15">
        <f>'Balance sheet'!F45+'Balance sheet'!F40</f>
        <v>19316</v>
      </c>
      <c r="H38" s="15">
        <f ca="1">'Balance sheet'!G45+'Balance sheet'!G40</f>
        <v>17809.065448837158</v>
      </c>
      <c r="I38" s="15">
        <f ca="1">'Balance sheet'!H45+'Balance sheet'!H40</f>
        <v>19441</v>
      </c>
      <c r="M38" s="82" t="s">
        <v>932</v>
      </c>
      <c r="N38" s="46"/>
      <c r="O38" s="46"/>
      <c r="P38" s="46"/>
      <c r="Q38" s="46"/>
    </row>
    <row r="39" spans="1:18" ht="15.6" x14ac:dyDescent="0.3">
      <c r="A39" s="8" t="s">
        <v>175</v>
      </c>
      <c r="B39" s="8" t="s">
        <v>179</v>
      </c>
      <c r="C39" s="78">
        <f>'P&amp;L '!B25/'Ratio Analysis'!C38</f>
        <v>0.413160409556314</v>
      </c>
      <c r="D39" s="78">
        <f>'P&amp;L '!C25/'Ratio Analysis'!D38</f>
        <v>0.38132007034513082</v>
      </c>
      <c r="E39" s="78">
        <f>'P&amp;L '!D25/'Ratio Analysis'!E38</f>
        <v>1.0251524390243902</v>
      </c>
      <c r="F39" s="78">
        <f>'P&amp;L '!E25/'Ratio Analysis'!F38</f>
        <v>0.53556915796512528</v>
      </c>
      <c r="G39" s="78">
        <f>'P&amp;L '!F25/'Ratio Analysis'!G38</f>
        <v>0.7086870987782149</v>
      </c>
      <c r="H39" s="78">
        <f ca="1">'P&amp;L '!G25/'Ratio Analysis'!H38</f>
        <v>-5.8428401231521689E-2</v>
      </c>
      <c r="I39" s="78">
        <f ca="1">'P&amp;L '!H25/'Ratio Analysis'!I38</f>
        <v>0.413160409556314</v>
      </c>
      <c r="M39" s="46" t="s">
        <v>358</v>
      </c>
      <c r="N39" s="46"/>
      <c r="O39" s="46"/>
      <c r="P39" s="46"/>
      <c r="Q39" s="46"/>
    </row>
    <row r="40" spans="1:18" ht="15.6" x14ac:dyDescent="0.3">
      <c r="A40" s="8" t="s">
        <v>176</v>
      </c>
      <c r="B40" s="8" t="s">
        <v>902</v>
      </c>
      <c r="C40" s="12">
        <f>'P&amp;L '!B34/'Balance sheet'!B34</f>
        <v>0.26575108797865593</v>
      </c>
      <c r="D40" s="12">
        <f>'P&amp;L '!C34/'Balance sheet'!C34</f>
        <v>0.20407432281173046</v>
      </c>
      <c r="E40" s="12">
        <f>'P&amp;L '!D34/'Balance sheet'!D34</f>
        <v>0.27307074181633634</v>
      </c>
      <c r="F40" s="12">
        <f>'P&amp;L '!E34/'Balance sheet'!E34</f>
        <v>0.20383537394896004</v>
      </c>
      <c r="G40" s="12">
        <f>'P&amp;L '!F34/'Balance sheet'!F34</f>
        <v>0.27236880255146417</v>
      </c>
      <c r="H40" s="12">
        <f>'P&amp;L '!G34/'Balance sheet'!G34</f>
        <v>-4.5730320954233308E-2</v>
      </c>
      <c r="I40" s="12">
        <f>'P&amp;L '!H34/'Balance sheet'!H34</f>
        <v>0.55073184203690384</v>
      </c>
      <c r="M40" s="46" t="s">
        <v>933</v>
      </c>
      <c r="N40" s="46"/>
      <c r="O40" s="46"/>
      <c r="P40" s="46"/>
      <c r="Q40" s="46"/>
    </row>
    <row r="41" spans="1:18" ht="15.6" x14ac:dyDescent="0.3">
      <c r="A41" s="8"/>
      <c r="B41" s="8"/>
      <c r="C41" s="30"/>
      <c r="D41" s="30"/>
      <c r="E41" s="30"/>
      <c r="F41" s="30"/>
      <c r="G41" s="30"/>
      <c r="H41" s="30"/>
      <c r="I41" s="30"/>
      <c r="M41" s="46" t="s">
        <v>934</v>
      </c>
      <c r="N41" s="46"/>
      <c r="O41" s="46"/>
      <c r="P41" s="46"/>
      <c r="Q41" s="46"/>
    </row>
    <row r="42" spans="1:18" ht="15.6" x14ac:dyDescent="0.3">
      <c r="A42" s="35" t="s">
        <v>180</v>
      </c>
      <c r="B42" s="35"/>
      <c r="C42" s="35"/>
      <c r="D42" s="35"/>
      <c r="E42" s="35"/>
      <c r="F42" s="35"/>
      <c r="G42" s="35"/>
      <c r="H42" s="33"/>
      <c r="I42" s="33"/>
      <c r="M42" s="46" t="s">
        <v>935</v>
      </c>
      <c r="N42" s="46"/>
      <c r="O42" s="46"/>
      <c r="P42" s="46"/>
      <c r="Q42" s="46"/>
    </row>
    <row r="43" spans="1:18" ht="15.6" x14ac:dyDescent="0.3">
      <c r="A43" s="8" t="s">
        <v>181</v>
      </c>
      <c r="B43" s="8" t="s">
        <v>186</v>
      </c>
      <c r="C43" s="31">
        <f>C9/C23</f>
        <v>1.8410525016458193E-2</v>
      </c>
      <c r="D43" s="31">
        <f t="shared" ref="D43:G43" si="6">D9/D23</f>
        <v>2.8749094997806049E-2</v>
      </c>
      <c r="E43" s="31">
        <f t="shared" si="6"/>
        <v>2.5502684563758388E-2</v>
      </c>
      <c r="F43" s="31">
        <f t="shared" si="6"/>
        <v>3.5749529599073675E-2</v>
      </c>
      <c r="G43" s="31">
        <f t="shared" si="6"/>
        <v>4.1548381945922926E-2</v>
      </c>
      <c r="H43" s="31">
        <f>H9/H23</f>
        <v>-0.25900627183763003</v>
      </c>
      <c r="I43" s="31">
        <f>I9/I23</f>
        <v>1.8954770415736965E-2</v>
      </c>
      <c r="M43" s="46" t="s">
        <v>936</v>
      </c>
      <c r="N43" s="46"/>
      <c r="O43" s="46"/>
      <c r="P43" s="46"/>
      <c r="Q43" s="46"/>
    </row>
    <row r="44" spans="1:18" ht="15.6" x14ac:dyDescent="0.3">
      <c r="A44" s="8" t="s">
        <v>182</v>
      </c>
      <c r="B44" s="8" t="s">
        <v>187</v>
      </c>
      <c r="C44" s="15">
        <f>'Balance sheet'!B40/'Ratio Analysis'!C6</f>
        <v>38195.035460992905</v>
      </c>
      <c r="D44" s="15">
        <f>'Balance sheet'!C40/'Ratio Analysis'!D6</f>
        <v>40569.230769230773</v>
      </c>
      <c r="E44" s="15">
        <f>'Balance sheet'!D40/'Ratio Analysis'!E6</f>
        <v>15304.142011834319</v>
      </c>
      <c r="F44" s="15">
        <f>'Balance sheet'!E40/'Ratio Analysis'!F6</f>
        <v>17982.248520710058</v>
      </c>
      <c r="G44" s="15">
        <f>'Balance sheet'!F40/'Ratio Analysis'!G6</f>
        <v>15770.414201183432</v>
      </c>
      <c r="H44" s="15">
        <f ca="1">'Balance sheet'!G40/'Ratio Analysis'!H6</f>
        <v>13987.059702765868</v>
      </c>
      <c r="I44" s="15">
        <f ca="1">'Balance sheet'!H40/'Ratio Analysis'!I6</f>
        <v>38286.282781717651</v>
      </c>
      <c r="M44" s="46" t="s">
        <v>937</v>
      </c>
      <c r="N44" s="46"/>
      <c r="O44" s="46"/>
      <c r="P44" s="46"/>
      <c r="Q44" s="46"/>
    </row>
    <row r="45" spans="1:18" ht="15.6" x14ac:dyDescent="0.3">
      <c r="A45" s="8" t="s">
        <v>183</v>
      </c>
      <c r="B45" s="8" t="s">
        <v>188</v>
      </c>
      <c r="C45" s="15">
        <f>C9/C44</f>
        <v>6.923674682016526E-3</v>
      </c>
      <c r="D45" s="15">
        <f t="shared" ref="D45:I45" si="7">D9/D44</f>
        <v>7.6449563898369349E-3</v>
      </c>
      <c r="E45" s="15">
        <f t="shared" si="7"/>
        <v>1.9099404577791527E-2</v>
      </c>
      <c r="F45" s="15">
        <f t="shared" si="7"/>
        <v>1.6254919381375455E-2</v>
      </c>
      <c r="G45" s="15">
        <f t="shared" si="7"/>
        <v>2.9289021461803989E-2</v>
      </c>
      <c r="H45" s="15">
        <f t="shared" ca="1" si="7"/>
        <v>3.3023380883164574E-2</v>
      </c>
      <c r="I45" s="15">
        <f t="shared" ca="1" si="7"/>
        <v>6.923674682016526E-3</v>
      </c>
      <c r="M45" s="46" t="s">
        <v>938</v>
      </c>
      <c r="N45" s="46"/>
      <c r="O45" s="46"/>
      <c r="P45" s="46"/>
      <c r="Q45" s="46"/>
    </row>
    <row r="46" spans="1:18" ht="15.6" x14ac:dyDescent="0.3">
      <c r="A46" s="8" t="s">
        <v>184</v>
      </c>
      <c r="B46" s="8" t="s">
        <v>189</v>
      </c>
      <c r="C46" s="15">
        <f>'P&amp;L '!B8/'Ratio Analysis'!C6</f>
        <v>26088.652482269503</v>
      </c>
      <c r="D46" s="15">
        <f>'P&amp;L '!C8/'Ratio Analysis'!D6</f>
        <v>34071.005917159768</v>
      </c>
      <c r="E46" s="15">
        <f>'P&amp;L '!D8/'Ratio Analysis'!E6</f>
        <v>39375.147928994083</v>
      </c>
      <c r="F46" s="15">
        <f>'P&amp;L '!E8/'Ratio Analysis'!F6</f>
        <v>33233.136094674555</v>
      </c>
      <c r="G46" s="15">
        <f>'P&amp;L '!F8/'Ratio Analysis'!G6</f>
        <v>39101.775147928995</v>
      </c>
      <c r="H46" s="15">
        <f>'P&amp;L '!G8/'Ratio Analysis'!H6</f>
        <v>4617.6331360946751</v>
      </c>
      <c r="I46" s="15">
        <f>'P&amp;L '!H8/'Ratio Analysis'!I6</f>
        <v>73977.179408284021</v>
      </c>
      <c r="M46" s="46" t="s">
        <v>939</v>
      </c>
      <c r="N46" s="46"/>
      <c r="O46" s="46"/>
      <c r="P46" s="46"/>
      <c r="Q46" s="46"/>
    </row>
    <row r="47" spans="1:18" ht="15.6" x14ac:dyDescent="0.3">
      <c r="A47" s="8" t="s">
        <v>185</v>
      </c>
      <c r="B47" s="8" t="s">
        <v>190</v>
      </c>
      <c r="C47" s="15">
        <f>C9/C46</f>
        <v>1.0136591001767024E-2</v>
      </c>
      <c r="D47" s="15">
        <f t="shared" ref="D47:I47" si="8">D9/D46</f>
        <v>9.1030479333101752E-3</v>
      </c>
      <c r="E47" s="15">
        <f t="shared" si="8"/>
        <v>7.4234641740803077E-3</v>
      </c>
      <c r="F47" s="15">
        <f t="shared" si="8"/>
        <v>8.7954383590912334E-3</v>
      </c>
      <c r="G47" s="15">
        <f t="shared" si="8"/>
        <v>1.1812762930904028E-2</v>
      </c>
      <c r="H47" s="15">
        <f t="shared" si="8"/>
        <v>0.10002960096363309</v>
      </c>
      <c r="I47" s="15">
        <f t="shared" si="8"/>
        <v>6.243817400103201E-3</v>
      </c>
      <c r="M47" s="46" t="s">
        <v>940</v>
      </c>
      <c r="N47" s="46"/>
      <c r="O47" s="46"/>
      <c r="P47" s="46"/>
      <c r="Q47" s="46"/>
    </row>
    <row r="48" spans="1:18" ht="15.6" x14ac:dyDescent="0.3">
      <c r="A48" s="8" t="s">
        <v>192</v>
      </c>
      <c r="B48" s="8" t="s">
        <v>191</v>
      </c>
      <c r="C48" s="12">
        <f>C7/C9</f>
        <v>8.054452637549632E-2</v>
      </c>
      <c r="D48" s="12">
        <f t="shared" ref="D48:I48" si="9">D7/D9</f>
        <v>5.8036433983556346E-2</v>
      </c>
      <c r="E48" s="12">
        <f t="shared" si="9"/>
        <v>0.25829627095449881</v>
      </c>
      <c r="F48" s="12">
        <f t="shared" si="9"/>
        <v>4.4474854601436881E-2</v>
      </c>
      <c r="G48" s="12">
        <f t="shared" si="9"/>
        <v>6.2784152413942418E-2</v>
      </c>
      <c r="H48" s="12">
        <f t="shared" ca="1" si="9"/>
        <v>0</v>
      </c>
      <c r="I48" s="12">
        <f t="shared" ca="1" si="9"/>
        <v>0.160821862690053</v>
      </c>
      <c r="M48" s="46" t="s">
        <v>941</v>
      </c>
      <c r="N48" s="46"/>
      <c r="O48" s="46"/>
      <c r="P48" s="46"/>
      <c r="Q48" s="46"/>
    </row>
    <row r="49" spans="2:17" x14ac:dyDescent="0.3">
      <c r="B49" s="5"/>
      <c r="M49" s="46" t="s">
        <v>942</v>
      </c>
      <c r="N49" s="46"/>
      <c r="O49" s="46"/>
      <c r="P49" s="46"/>
      <c r="Q49" s="46"/>
    </row>
    <row r="50" spans="2:17" x14ac:dyDescent="0.3">
      <c r="B50" s="82" t="s">
        <v>167</v>
      </c>
      <c r="M50" s="46" t="s">
        <v>943</v>
      </c>
      <c r="N50" s="46"/>
      <c r="O50" s="46"/>
      <c r="P50" s="46"/>
      <c r="Q50" s="46"/>
    </row>
    <row r="51" spans="2:17" x14ac:dyDescent="0.3">
      <c r="B51" s="47" t="s">
        <v>965</v>
      </c>
      <c r="M51" s="46" t="s">
        <v>944</v>
      </c>
      <c r="N51" s="46"/>
      <c r="O51" s="46"/>
      <c r="P51" s="46"/>
      <c r="Q51" s="46"/>
    </row>
    <row r="52" spans="2:17" x14ac:dyDescent="0.3">
      <c r="B52" s="47" t="s">
        <v>966</v>
      </c>
      <c r="D52" s="82" t="s">
        <v>973</v>
      </c>
      <c r="E52" s="46"/>
      <c r="F52" s="46"/>
      <c r="H52" s="82" t="s">
        <v>989</v>
      </c>
      <c r="I52" s="46"/>
      <c r="J52" s="46"/>
      <c r="K52" s="46"/>
      <c r="M52" s="46" t="s">
        <v>945</v>
      </c>
      <c r="N52" s="46"/>
      <c r="O52" s="46"/>
      <c r="P52" s="46"/>
      <c r="Q52" s="46"/>
    </row>
    <row r="53" spans="2:17" x14ac:dyDescent="0.3">
      <c r="B53" s="47" t="s">
        <v>967</v>
      </c>
      <c r="D53" s="46" t="s">
        <v>810</v>
      </c>
      <c r="E53" s="46"/>
      <c r="F53" s="46"/>
      <c r="H53" s="46" t="s">
        <v>990</v>
      </c>
      <c r="I53" s="46"/>
      <c r="J53" s="46"/>
      <c r="K53" s="46"/>
      <c r="M53" s="46" t="s">
        <v>946</v>
      </c>
      <c r="N53" s="46"/>
      <c r="O53" s="46"/>
      <c r="P53" s="46"/>
      <c r="Q53" s="46"/>
    </row>
    <row r="54" spans="2:17" x14ac:dyDescent="0.3">
      <c r="B54" s="47" t="s">
        <v>968</v>
      </c>
      <c r="D54" s="46" t="s">
        <v>974</v>
      </c>
      <c r="E54" s="46"/>
      <c r="F54" s="46"/>
      <c r="H54" s="46" t="s">
        <v>991</v>
      </c>
      <c r="I54" s="46"/>
      <c r="J54" s="46"/>
      <c r="K54" s="46"/>
      <c r="M54" s="46" t="s">
        <v>947</v>
      </c>
      <c r="N54" s="46"/>
      <c r="O54" s="46"/>
      <c r="P54" s="46"/>
      <c r="Q54" s="46"/>
    </row>
    <row r="55" spans="2:17" x14ac:dyDescent="0.3">
      <c r="B55" s="47" t="s">
        <v>969</v>
      </c>
      <c r="D55" s="46" t="s">
        <v>975</v>
      </c>
      <c r="E55" s="46"/>
      <c r="F55" s="46"/>
      <c r="H55" s="46" t="s">
        <v>992</v>
      </c>
      <c r="I55" s="46"/>
      <c r="J55" s="46"/>
      <c r="K55" s="46"/>
      <c r="M55" s="46" t="s">
        <v>948</v>
      </c>
      <c r="N55" s="46"/>
      <c r="O55" s="46"/>
      <c r="P55" s="46"/>
      <c r="Q55" s="46"/>
    </row>
    <row r="56" spans="2:17" x14ac:dyDescent="0.3">
      <c r="B56" s="47" t="s">
        <v>970</v>
      </c>
      <c r="D56" s="46" t="s">
        <v>976</v>
      </c>
      <c r="E56" s="46"/>
      <c r="F56" s="46"/>
      <c r="H56" s="46" t="s">
        <v>993</v>
      </c>
      <c r="I56" s="46"/>
      <c r="J56" s="46"/>
      <c r="K56" s="46"/>
      <c r="M56" s="46" t="s">
        <v>949</v>
      </c>
      <c r="N56" s="46"/>
      <c r="O56" s="46"/>
      <c r="P56" s="46"/>
      <c r="Q56" s="46"/>
    </row>
    <row r="57" spans="2:17" x14ac:dyDescent="0.3">
      <c r="B57" s="47" t="s">
        <v>971</v>
      </c>
      <c r="D57" s="46" t="s">
        <v>977</v>
      </c>
      <c r="E57" s="46"/>
      <c r="F57" s="46"/>
      <c r="H57" s="46" t="s">
        <v>994</v>
      </c>
      <c r="I57" s="46"/>
      <c r="J57" s="46"/>
      <c r="K57" s="46"/>
      <c r="M57" s="46" t="s">
        <v>950</v>
      </c>
      <c r="N57" s="46"/>
      <c r="O57" s="46"/>
      <c r="P57" s="46"/>
      <c r="Q57" s="46"/>
    </row>
    <row r="58" spans="2:17" x14ac:dyDescent="0.3">
      <c r="B58" s="47" t="s">
        <v>972</v>
      </c>
      <c r="D58" s="46" t="s">
        <v>978</v>
      </c>
      <c r="E58" s="46"/>
      <c r="F58" s="46"/>
      <c r="H58" s="46" t="s">
        <v>995</v>
      </c>
      <c r="I58" s="46"/>
      <c r="J58" s="46"/>
      <c r="K58" s="46"/>
      <c r="M58" s="46" t="s">
        <v>951</v>
      </c>
      <c r="N58" s="46"/>
      <c r="O58" s="46"/>
      <c r="P58" s="46"/>
      <c r="Q58" s="46"/>
    </row>
    <row r="59" spans="2:17" x14ac:dyDescent="0.3">
      <c r="D59" s="46" t="s">
        <v>979</v>
      </c>
      <c r="E59" s="46"/>
      <c r="F59" s="46"/>
      <c r="H59" s="46" t="s">
        <v>996</v>
      </c>
      <c r="I59" s="46"/>
      <c r="J59" s="46"/>
      <c r="K59" s="46"/>
      <c r="M59" s="46" t="s">
        <v>952</v>
      </c>
      <c r="N59" s="46"/>
      <c r="O59" s="46"/>
      <c r="P59" s="46"/>
      <c r="Q59" s="46"/>
    </row>
    <row r="60" spans="2:17" x14ac:dyDescent="0.3">
      <c r="D60" s="46" t="s">
        <v>980</v>
      </c>
      <c r="E60" s="46"/>
      <c r="F60" s="46"/>
      <c r="H60" s="46" t="s">
        <v>997</v>
      </c>
      <c r="I60" s="46"/>
      <c r="J60" s="46"/>
      <c r="K60" s="46"/>
      <c r="M60" s="46" t="s">
        <v>953</v>
      </c>
      <c r="N60" s="46"/>
      <c r="O60" s="46"/>
      <c r="P60" s="46"/>
      <c r="Q60" s="46"/>
    </row>
    <row r="61" spans="2:17" x14ac:dyDescent="0.3">
      <c r="D61" s="46" t="s">
        <v>981</v>
      </c>
      <c r="E61" s="46"/>
      <c r="F61" s="46"/>
      <c r="H61" s="46" t="s">
        <v>998</v>
      </c>
      <c r="I61" s="46"/>
      <c r="J61" s="46"/>
      <c r="K61" s="46"/>
      <c r="M61" s="46" t="s">
        <v>954</v>
      </c>
      <c r="N61" s="46"/>
      <c r="O61" s="46"/>
      <c r="P61" s="46"/>
      <c r="Q61" s="46"/>
    </row>
    <row r="62" spans="2:17" x14ac:dyDescent="0.3">
      <c r="D62" s="46" t="s">
        <v>982</v>
      </c>
      <c r="E62" s="46"/>
      <c r="F62" s="46"/>
      <c r="H62" s="46" t="s">
        <v>999</v>
      </c>
      <c r="I62" s="46"/>
      <c r="J62" s="46"/>
      <c r="K62" s="46"/>
      <c r="M62" s="46" t="s">
        <v>955</v>
      </c>
      <c r="N62" s="46"/>
      <c r="O62" s="46"/>
      <c r="P62" s="46"/>
      <c r="Q62" s="46"/>
    </row>
    <row r="63" spans="2:17" x14ac:dyDescent="0.3">
      <c r="D63" s="46" t="s">
        <v>983</v>
      </c>
      <c r="E63" s="46"/>
      <c r="F63" s="46"/>
      <c r="H63" s="46" t="s">
        <v>1000</v>
      </c>
      <c r="I63" s="46"/>
      <c r="J63" s="46"/>
      <c r="K63" s="46"/>
      <c r="M63" s="46" t="s">
        <v>956</v>
      </c>
      <c r="N63" s="46"/>
      <c r="O63" s="46"/>
      <c r="P63" s="46"/>
      <c r="Q63" s="46"/>
    </row>
    <row r="64" spans="2:17" x14ac:dyDescent="0.3">
      <c r="D64" s="46" t="s">
        <v>984</v>
      </c>
      <c r="E64" s="46"/>
      <c r="F64" s="46"/>
      <c r="H64" s="46" t="s">
        <v>1001</v>
      </c>
      <c r="I64" s="46"/>
      <c r="J64" s="46"/>
      <c r="K64" s="46"/>
      <c r="M64" s="46" t="s">
        <v>957</v>
      </c>
      <c r="N64" s="46"/>
      <c r="O64" s="46"/>
      <c r="P64" s="46"/>
      <c r="Q64" s="46"/>
    </row>
    <row r="65" spans="4:17" x14ac:dyDescent="0.3">
      <c r="D65" s="46" t="s">
        <v>985</v>
      </c>
      <c r="E65" s="46"/>
      <c r="F65" s="46"/>
      <c r="H65" s="46" t="s">
        <v>1002</v>
      </c>
      <c r="I65" s="46"/>
      <c r="J65" s="46"/>
      <c r="K65" s="46"/>
      <c r="M65" s="46" t="s">
        <v>958</v>
      </c>
      <c r="N65" s="46"/>
      <c r="O65" s="46"/>
      <c r="P65" s="46"/>
      <c r="Q65" s="46"/>
    </row>
    <row r="66" spans="4:17" x14ac:dyDescent="0.3">
      <c r="D66" s="46" t="s">
        <v>986</v>
      </c>
      <c r="E66" s="46"/>
      <c r="F66" s="46"/>
      <c r="H66" s="46" t="s">
        <v>1003</v>
      </c>
      <c r="I66" s="46"/>
      <c r="J66" s="46"/>
      <c r="K66" s="46"/>
      <c r="M66" s="46" t="s">
        <v>959</v>
      </c>
      <c r="N66" s="46"/>
      <c r="O66" s="46"/>
      <c r="P66" s="46"/>
      <c r="Q66" s="46"/>
    </row>
    <row r="67" spans="4:17" x14ac:dyDescent="0.3">
      <c r="D67" s="46" t="s">
        <v>987</v>
      </c>
      <c r="E67" s="46"/>
      <c r="F67" s="46"/>
      <c r="H67" s="46" t="s">
        <v>1004</v>
      </c>
      <c r="I67" s="46"/>
      <c r="J67" s="46"/>
      <c r="K67" s="46"/>
      <c r="M67" s="46" t="s">
        <v>960</v>
      </c>
      <c r="N67" s="46"/>
      <c r="O67" s="46"/>
      <c r="P67" s="46"/>
      <c r="Q67" s="46"/>
    </row>
    <row r="68" spans="4:17" x14ac:dyDescent="0.3">
      <c r="D68" s="46" t="s">
        <v>988</v>
      </c>
      <c r="E68" s="46"/>
      <c r="F68" s="46"/>
      <c r="H68" s="46" t="s">
        <v>1005</v>
      </c>
      <c r="I68" s="46"/>
      <c r="J68" s="46"/>
      <c r="K68" s="46"/>
      <c r="M68" s="46" t="s">
        <v>961</v>
      </c>
      <c r="N68" s="46"/>
      <c r="O68" s="46"/>
      <c r="P68" s="46"/>
      <c r="Q68" s="46"/>
    </row>
    <row r="69" spans="4:17" x14ac:dyDescent="0.3">
      <c r="D69" s="46"/>
      <c r="E69" s="46"/>
      <c r="F69" s="46"/>
      <c r="H69" s="46" t="s">
        <v>1006</v>
      </c>
      <c r="I69" s="46"/>
      <c r="J69" s="46"/>
      <c r="K69" s="46"/>
      <c r="M69" s="46" t="s">
        <v>962</v>
      </c>
      <c r="N69" s="46"/>
      <c r="O69" s="46"/>
      <c r="P69" s="46"/>
      <c r="Q69" s="46"/>
    </row>
    <row r="70" spans="4:17" x14ac:dyDescent="0.3">
      <c r="D70" s="46"/>
      <c r="E70" s="46"/>
      <c r="F70" s="46"/>
      <c r="H70" s="46" t="s">
        <v>1007</v>
      </c>
      <c r="I70" s="46"/>
      <c r="J70" s="46"/>
      <c r="K70" s="46"/>
      <c r="M70" s="46" t="s">
        <v>963</v>
      </c>
      <c r="N70" s="46"/>
      <c r="O70" s="46"/>
      <c r="P70" s="46"/>
      <c r="Q70" s="46"/>
    </row>
    <row r="71" spans="4:17" x14ac:dyDescent="0.3">
      <c r="H71" s="46" t="s">
        <v>1008</v>
      </c>
      <c r="I71" s="46"/>
      <c r="J71" s="46"/>
      <c r="K71" s="46"/>
      <c r="M71" s="46" t="s">
        <v>964</v>
      </c>
      <c r="N71" s="46"/>
      <c r="O71" s="46"/>
      <c r="P71" s="46"/>
      <c r="Q71" s="46"/>
    </row>
    <row r="72" spans="4:17" x14ac:dyDescent="0.3">
      <c r="H72" s="46" t="s">
        <v>1009</v>
      </c>
      <c r="I72" s="46"/>
      <c r="J72" s="46"/>
      <c r="K72" s="46"/>
    </row>
    <row r="73" spans="4:17" x14ac:dyDescent="0.3">
      <c r="H73" s="46" t="s">
        <v>1010</v>
      </c>
      <c r="I73" s="46"/>
      <c r="J73" s="46"/>
      <c r="K73" s="46"/>
    </row>
    <row r="74" spans="4:17" x14ac:dyDescent="0.3">
      <c r="H74" s="46" t="s">
        <v>1011</v>
      </c>
      <c r="I74" s="46"/>
      <c r="J74" s="46"/>
      <c r="K74" s="46"/>
    </row>
    <row r="75" spans="4:17" x14ac:dyDescent="0.3">
      <c r="H75" s="46" t="s">
        <v>1012</v>
      </c>
      <c r="I75" s="46"/>
      <c r="J75" s="46"/>
      <c r="K75" s="46"/>
    </row>
    <row r="76" spans="4:17" x14ac:dyDescent="0.3">
      <c r="H76" s="46" t="s">
        <v>1013</v>
      </c>
      <c r="I76" s="46"/>
      <c r="J76" s="46"/>
      <c r="K76" s="46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B2A5-F914-424A-B63F-693BC79E441D}">
  <dimension ref="A2:R16"/>
  <sheetViews>
    <sheetView workbookViewId="0">
      <selection activeCell="H19" sqref="H19"/>
    </sheetView>
  </sheetViews>
  <sheetFormatPr defaultRowHeight="14.4" x14ac:dyDescent="0.3"/>
  <cols>
    <col min="1" max="1" width="40.33203125" bestFit="1" customWidth="1"/>
    <col min="2" max="8" width="13.5546875" bestFit="1" customWidth="1"/>
  </cols>
  <sheetData>
    <row r="2" spans="1:18" ht="17.399999999999999" x14ac:dyDescent="0.3">
      <c r="A2" s="1" t="s">
        <v>0</v>
      </c>
      <c r="B2" s="2">
        <v>44286</v>
      </c>
      <c r="C2" s="2">
        <v>44651</v>
      </c>
      <c r="D2" s="2">
        <v>45016</v>
      </c>
      <c r="E2" s="2">
        <v>45382</v>
      </c>
      <c r="F2" s="2">
        <v>45747</v>
      </c>
      <c r="G2" s="2">
        <v>46112</v>
      </c>
      <c r="H2" s="2">
        <v>46477</v>
      </c>
    </row>
    <row r="3" spans="1:18" ht="17.399999999999999" x14ac:dyDescent="0.3">
      <c r="A3" s="1" t="s">
        <v>193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</row>
    <row r="4" spans="1:18" ht="17.399999999999999" x14ac:dyDescent="0.3">
      <c r="A4" s="1" t="s">
        <v>2</v>
      </c>
      <c r="B4" s="3" t="s">
        <v>4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203</v>
      </c>
      <c r="H4" s="3" t="s">
        <v>203</v>
      </c>
    </row>
    <row r="5" spans="1:18" x14ac:dyDescent="0.3">
      <c r="A5" s="5"/>
      <c r="B5" s="5"/>
      <c r="C5" s="5"/>
      <c r="D5" s="5"/>
      <c r="E5" s="5"/>
      <c r="F5" s="5"/>
      <c r="G5" s="5"/>
      <c r="J5" s="46" t="s">
        <v>294</v>
      </c>
      <c r="K5" s="46"/>
      <c r="L5" s="46"/>
      <c r="M5" s="46"/>
      <c r="N5" s="46"/>
      <c r="O5" s="46"/>
      <c r="P5" s="46"/>
      <c r="Q5" s="46"/>
      <c r="R5" s="46"/>
    </row>
    <row r="6" spans="1:18" ht="15.6" x14ac:dyDescent="0.3">
      <c r="A6" s="8" t="s">
        <v>194</v>
      </c>
      <c r="B6" s="15">
        <v>387</v>
      </c>
      <c r="C6" s="15">
        <v>319</v>
      </c>
      <c r="D6" s="15">
        <v>410</v>
      </c>
      <c r="E6" s="15">
        <v>482</v>
      </c>
      <c r="F6" s="15">
        <v>662</v>
      </c>
      <c r="G6" s="15">
        <f>G7*F6+F6</f>
        <v>741.44</v>
      </c>
      <c r="H6" s="15">
        <f>H78*G6+G6</f>
        <v>741.44</v>
      </c>
      <c r="J6" s="46" t="s">
        <v>295</v>
      </c>
      <c r="K6" s="46"/>
      <c r="L6" s="46"/>
      <c r="M6" s="46"/>
      <c r="N6" s="46"/>
      <c r="O6" s="46"/>
      <c r="P6" s="46"/>
      <c r="Q6" s="46"/>
      <c r="R6" s="46"/>
    </row>
    <row r="7" spans="1:18" ht="15.6" x14ac:dyDescent="0.3">
      <c r="A7" s="27" t="s">
        <v>202</v>
      </c>
      <c r="B7" s="15"/>
      <c r="C7" s="12">
        <f>C6/B6-1</f>
        <v>-0.17571059431524549</v>
      </c>
      <c r="D7" s="12">
        <f t="shared" ref="D7:F7" si="0">D6/C6-1</f>
        <v>0.28526645768025083</v>
      </c>
      <c r="E7" s="12">
        <f t="shared" si="0"/>
        <v>0.17560975609756091</v>
      </c>
      <c r="F7" s="12">
        <f t="shared" si="0"/>
        <v>0.37344398340248963</v>
      </c>
      <c r="G7" s="26">
        <v>0.12</v>
      </c>
      <c r="H7" s="26">
        <v>0.105</v>
      </c>
      <c r="J7" s="46" t="s">
        <v>296</v>
      </c>
      <c r="K7" s="46"/>
      <c r="L7" s="46"/>
      <c r="M7" s="46"/>
      <c r="N7" s="46"/>
      <c r="O7" s="46"/>
      <c r="P7" s="46"/>
      <c r="Q7" s="46"/>
      <c r="R7" s="46"/>
    </row>
    <row r="8" spans="1:18" ht="15.6" x14ac:dyDescent="0.3">
      <c r="A8" s="8"/>
      <c r="B8" s="15"/>
      <c r="C8" s="25"/>
      <c r="D8" s="15"/>
      <c r="E8" s="15"/>
      <c r="F8" s="15"/>
      <c r="G8" s="8"/>
      <c r="H8" s="30"/>
      <c r="J8" s="46" t="s">
        <v>297</v>
      </c>
      <c r="K8" s="46"/>
      <c r="L8" s="46"/>
      <c r="M8" s="46"/>
      <c r="N8" s="46"/>
      <c r="O8" s="46"/>
      <c r="P8" s="46"/>
      <c r="Q8" s="46"/>
      <c r="R8" s="46"/>
    </row>
    <row r="9" spans="1:18" ht="15.6" x14ac:dyDescent="0.3">
      <c r="A9" s="8" t="s">
        <v>195</v>
      </c>
      <c r="B9" s="15">
        <v>80</v>
      </c>
      <c r="C9" s="15">
        <v>205</v>
      </c>
      <c r="D9" s="15">
        <v>235</v>
      </c>
      <c r="E9" s="15">
        <v>198</v>
      </c>
      <c r="F9" s="15">
        <v>183</v>
      </c>
      <c r="G9" s="15">
        <f>G10*F9+F9</f>
        <v>2928</v>
      </c>
      <c r="H9" s="15">
        <f>H10*G9+G9</f>
        <v>61488</v>
      </c>
      <c r="J9" s="46" t="s">
        <v>298</v>
      </c>
      <c r="K9" s="46"/>
      <c r="L9" s="46"/>
      <c r="M9" s="46"/>
      <c r="N9" s="46"/>
      <c r="O9" s="46"/>
      <c r="P9" s="46"/>
      <c r="Q9" s="46"/>
      <c r="R9" s="46"/>
    </row>
    <row r="10" spans="1:18" ht="15.6" x14ac:dyDescent="0.3">
      <c r="A10" s="27" t="s">
        <v>202</v>
      </c>
      <c r="B10" s="15"/>
      <c r="C10" s="12">
        <f>C9/B9-1</f>
        <v>1.5625</v>
      </c>
      <c r="D10" s="12">
        <f t="shared" ref="D10:F10" si="1">D9/C9-1</f>
        <v>0.14634146341463405</v>
      </c>
      <c r="E10" s="12">
        <f t="shared" si="1"/>
        <v>-0.1574468085106383</v>
      </c>
      <c r="F10" s="12">
        <f t="shared" si="1"/>
        <v>-7.5757575757575801E-2</v>
      </c>
      <c r="G10" s="15">
        <v>15</v>
      </c>
      <c r="H10" s="15">
        <v>20</v>
      </c>
      <c r="J10" s="46" t="s">
        <v>299</v>
      </c>
      <c r="K10" s="46"/>
      <c r="L10" s="46"/>
      <c r="M10" s="46"/>
      <c r="N10" s="46"/>
      <c r="O10" s="46"/>
      <c r="P10" s="46"/>
      <c r="Q10" s="46"/>
      <c r="R10" s="46"/>
    </row>
    <row r="11" spans="1:18" ht="15.6" x14ac:dyDescent="0.3">
      <c r="A11" s="8"/>
      <c r="B11" s="15"/>
      <c r="C11" s="15"/>
      <c r="D11" s="15"/>
      <c r="E11" s="15"/>
      <c r="F11" s="15"/>
      <c r="G11" s="8"/>
      <c r="H11" s="30"/>
    </row>
    <row r="12" spans="1:18" ht="15.6" x14ac:dyDescent="0.3">
      <c r="A12" s="8" t="s">
        <v>196</v>
      </c>
      <c r="B12" s="15">
        <v>91</v>
      </c>
      <c r="C12" s="15">
        <v>126</v>
      </c>
      <c r="D12" s="15">
        <v>181</v>
      </c>
      <c r="E12" s="15">
        <v>170</v>
      </c>
      <c r="F12" s="15">
        <v>197</v>
      </c>
      <c r="G12" s="8">
        <f>G13*F12+F12</f>
        <v>232.46</v>
      </c>
      <c r="H12" s="8">
        <f>H13*G12+G12</f>
        <v>281.27660000000003</v>
      </c>
    </row>
    <row r="13" spans="1:18" ht="15.6" x14ac:dyDescent="0.3">
      <c r="A13" s="27" t="s">
        <v>202</v>
      </c>
      <c r="B13" s="15"/>
      <c r="C13" s="12">
        <f>C12/B12-1</f>
        <v>0.38461538461538458</v>
      </c>
      <c r="D13" s="12">
        <f t="shared" ref="D13:F13" si="2">D12/C12-1</f>
        <v>0.43650793650793651</v>
      </c>
      <c r="E13" s="12">
        <f t="shared" si="2"/>
        <v>-6.0773480662983381E-2</v>
      </c>
      <c r="F13" s="12">
        <f t="shared" si="2"/>
        <v>0.15882352941176481</v>
      </c>
      <c r="G13" s="12">
        <v>0.18</v>
      </c>
      <c r="H13" s="12">
        <v>0.21</v>
      </c>
    </row>
    <row r="14" spans="1:18" ht="15.6" x14ac:dyDescent="0.3">
      <c r="A14" s="8"/>
      <c r="B14" s="15"/>
      <c r="C14" s="15"/>
      <c r="D14" s="15"/>
      <c r="E14" s="15"/>
      <c r="F14" s="15"/>
      <c r="G14" s="8"/>
      <c r="H14" s="30"/>
    </row>
    <row r="15" spans="1:18" ht="15.6" x14ac:dyDescent="0.3">
      <c r="A15" s="37" t="s">
        <v>197</v>
      </c>
      <c r="B15" s="38">
        <f>'P&amp;L '!B6</f>
        <v>22071</v>
      </c>
      <c r="C15" s="38">
        <f>'P&amp;L '!C6</f>
        <v>28790</v>
      </c>
      <c r="D15" s="38">
        <f>'P&amp;L '!D6</f>
        <v>33272</v>
      </c>
      <c r="E15" s="38">
        <f>'P&amp;L '!E6</f>
        <v>28082</v>
      </c>
      <c r="F15" s="38">
        <f>'P&amp;L '!F6</f>
        <v>33041</v>
      </c>
      <c r="G15" s="38">
        <f>G6+G9+G12</f>
        <v>3901.9</v>
      </c>
      <c r="H15" s="38">
        <f>H6+H9+H12</f>
        <v>62510.7166</v>
      </c>
    </row>
    <row r="16" spans="1:18" x14ac:dyDescent="0.3">
      <c r="A16" s="5"/>
      <c r="B16" s="5"/>
      <c r="C16" s="5"/>
      <c r="D16" s="5"/>
      <c r="E16" s="5"/>
      <c r="F16" s="5"/>
      <c r="G16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911AE-21A4-4122-BED6-DF8E1AC35727}">
  <dimension ref="A1:S9"/>
  <sheetViews>
    <sheetView workbookViewId="0">
      <selection activeCell="A2" sqref="A2"/>
    </sheetView>
  </sheetViews>
  <sheetFormatPr defaultRowHeight="14.4" x14ac:dyDescent="0.3"/>
  <cols>
    <col min="1" max="1" width="31.109375" bestFit="1" customWidth="1"/>
    <col min="2" max="8" width="13.5546875" bestFit="1" customWidth="1"/>
  </cols>
  <sheetData>
    <row r="1" spans="1:19" x14ac:dyDescent="0.3">
      <c r="G1" t="s">
        <v>212</v>
      </c>
    </row>
    <row r="2" spans="1:19" ht="17.399999999999999" x14ac:dyDescent="0.3">
      <c r="A2" s="1" t="s">
        <v>0</v>
      </c>
      <c r="B2" s="2">
        <v>44286</v>
      </c>
      <c r="C2" s="2">
        <v>44651</v>
      </c>
      <c r="D2" s="2">
        <v>45016</v>
      </c>
      <c r="E2" s="2">
        <v>45382</v>
      </c>
      <c r="F2" s="2">
        <v>45747</v>
      </c>
      <c r="G2" s="2">
        <v>46112</v>
      </c>
      <c r="H2" s="2">
        <v>46477</v>
      </c>
    </row>
    <row r="3" spans="1:19" ht="17.399999999999999" x14ac:dyDescent="0.3">
      <c r="A3" s="1" t="s">
        <v>198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  <c r="L3" s="46" t="s">
        <v>300</v>
      </c>
      <c r="M3" s="46"/>
      <c r="N3" s="46"/>
      <c r="O3" s="46"/>
      <c r="P3" s="46"/>
      <c r="Q3" s="46"/>
      <c r="R3" s="46"/>
      <c r="S3" s="46"/>
    </row>
    <row r="4" spans="1:19" ht="17.399999999999999" x14ac:dyDescent="0.3">
      <c r="A4" s="1" t="s">
        <v>2</v>
      </c>
      <c r="B4" s="3" t="s">
        <v>4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203</v>
      </c>
      <c r="H4" s="3" t="s">
        <v>203</v>
      </c>
      <c r="L4" s="46" t="s">
        <v>301</v>
      </c>
      <c r="M4" s="46"/>
      <c r="N4" s="46"/>
      <c r="O4" s="46"/>
      <c r="P4" s="46"/>
      <c r="Q4" s="46"/>
      <c r="R4" s="46"/>
      <c r="S4" s="46"/>
    </row>
    <row r="5" spans="1:19" ht="15.6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46" t="s">
        <v>302</v>
      </c>
      <c r="M5" s="46"/>
      <c r="N5" s="46"/>
      <c r="O5" s="46"/>
      <c r="P5" s="46"/>
      <c r="Q5" s="46"/>
      <c r="R5" s="46"/>
      <c r="S5" s="46"/>
    </row>
    <row r="6" spans="1:19" ht="15.6" x14ac:dyDescent="0.3">
      <c r="A6" s="4" t="s">
        <v>199</v>
      </c>
      <c r="B6" s="15">
        <v>31847</v>
      </c>
      <c r="C6" s="15">
        <v>35037</v>
      </c>
      <c r="D6" s="15">
        <v>38013</v>
      </c>
      <c r="E6" s="15">
        <v>41712</v>
      </c>
      <c r="F6" s="15">
        <v>45585</v>
      </c>
      <c r="G6" s="15">
        <f>G7*F6+F6</f>
        <v>49861.613679269052</v>
      </c>
      <c r="H6" s="15">
        <f t="shared" ref="H6" si="0">H7*G6+G6</f>
        <v>54460.285748805683</v>
      </c>
      <c r="I6" s="15"/>
      <c r="J6" s="8"/>
      <c r="K6" s="8"/>
      <c r="L6" s="46" t="s">
        <v>303</v>
      </c>
      <c r="M6" s="46"/>
      <c r="N6" s="46"/>
      <c r="O6" s="46"/>
      <c r="P6" s="46"/>
      <c r="Q6" s="46"/>
      <c r="R6" s="46"/>
      <c r="S6" s="46"/>
    </row>
    <row r="7" spans="1:19" ht="15.6" x14ac:dyDescent="0.3">
      <c r="A7" s="18" t="s">
        <v>213</v>
      </c>
      <c r="B7" s="8"/>
      <c r="C7" s="12">
        <f>C6/B6-1</f>
        <v>0.10016642069896697</v>
      </c>
      <c r="D7" s="12">
        <f t="shared" ref="D7:F7" si="1">D6/C6-1</f>
        <v>8.4938779005051757E-2</v>
      </c>
      <c r="E7" s="12">
        <f t="shared" si="1"/>
        <v>9.7308815405256155E-2</v>
      </c>
      <c r="F7" s="12">
        <f t="shared" si="1"/>
        <v>9.2850978135788242E-2</v>
      </c>
      <c r="G7" s="26">
        <f>AVERAGE(C7:F7)</f>
        <v>9.3816248311265782E-2</v>
      </c>
      <c r="H7" s="26">
        <f>AVERAGE(D7:G7)</f>
        <v>9.2228705214340484E-2</v>
      </c>
      <c r="I7" s="8"/>
      <c r="J7" s="8"/>
      <c r="K7" s="8"/>
      <c r="L7" s="46" t="s">
        <v>304</v>
      </c>
      <c r="M7" s="46"/>
      <c r="N7" s="46"/>
      <c r="O7" s="46"/>
      <c r="P7" s="46"/>
      <c r="Q7" s="46"/>
      <c r="R7" s="46"/>
      <c r="S7" s="46"/>
    </row>
    <row r="8" spans="1:19" ht="15.6" x14ac:dyDescent="0.3">
      <c r="A8" s="4" t="s">
        <v>200</v>
      </c>
      <c r="B8" s="15">
        <v>15400</v>
      </c>
      <c r="C8" s="15">
        <v>17872</v>
      </c>
      <c r="D8" s="15">
        <v>20483</v>
      </c>
      <c r="E8" s="15">
        <v>23741</v>
      </c>
      <c r="F8" s="15">
        <v>27100</v>
      </c>
      <c r="G8" s="15">
        <f>F8+'P&amp;L '!G23</f>
        <v>31203.617655535803</v>
      </c>
      <c r="H8" s="15">
        <f>G8+'P&amp;L '!H23</f>
        <v>35716.49200351438</v>
      </c>
      <c r="I8" s="8" t="s">
        <v>214</v>
      </c>
      <c r="J8" s="8"/>
      <c r="K8" s="8"/>
      <c r="L8" s="8"/>
    </row>
    <row r="9" spans="1:19" ht="15.6" x14ac:dyDescent="0.3">
      <c r="A9" s="37" t="s">
        <v>201</v>
      </c>
      <c r="B9" s="38">
        <f t="shared" ref="B9:H9" si="2">B6-B8</f>
        <v>16447</v>
      </c>
      <c r="C9" s="38">
        <f t="shared" si="2"/>
        <v>17165</v>
      </c>
      <c r="D9" s="38">
        <f t="shared" si="2"/>
        <v>17530</v>
      </c>
      <c r="E9" s="38">
        <f t="shared" si="2"/>
        <v>17971</v>
      </c>
      <c r="F9" s="38">
        <f t="shared" si="2"/>
        <v>18485</v>
      </c>
      <c r="G9" s="38">
        <f t="shared" si="2"/>
        <v>18657.996023733249</v>
      </c>
      <c r="H9" s="38">
        <f t="shared" si="2"/>
        <v>18743.793745291303</v>
      </c>
      <c r="I9" s="8" t="s">
        <v>215</v>
      </c>
      <c r="J9" s="8"/>
      <c r="K9" s="8"/>
      <c r="L9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8412-CB56-4DCA-ACCB-DF8D8F42FA30}">
  <dimension ref="A1:G65"/>
  <sheetViews>
    <sheetView topLeftCell="A55" zoomScale="107" zoomScaleNormal="55" workbookViewId="0">
      <selection activeCell="C77" sqref="C77"/>
    </sheetView>
  </sheetViews>
  <sheetFormatPr defaultRowHeight="14.4" x14ac:dyDescent="0.3"/>
  <cols>
    <col min="1" max="1" width="35.33203125" customWidth="1"/>
    <col min="2" max="2" width="27.21875" customWidth="1"/>
    <col min="3" max="3" width="15.21875" customWidth="1"/>
    <col min="4" max="4" width="11.88671875" bestFit="1" customWidth="1"/>
    <col min="5" max="5" width="12.33203125" bestFit="1" customWidth="1"/>
  </cols>
  <sheetData>
    <row r="1" spans="1:5" ht="15.6" x14ac:dyDescent="0.3">
      <c r="A1" s="91" t="s">
        <v>1030</v>
      </c>
      <c r="B1" s="35"/>
      <c r="C1" s="73"/>
      <c r="D1" s="73"/>
      <c r="E1" s="73"/>
    </row>
    <row r="2" spans="1:5" ht="15.6" x14ac:dyDescent="0.3">
      <c r="A2" s="35" t="s">
        <v>306</v>
      </c>
      <c r="B2" s="35"/>
      <c r="C2" s="74"/>
      <c r="D2" s="74"/>
      <c r="E2" s="74"/>
    </row>
    <row r="3" spans="1:5" ht="15.6" x14ac:dyDescent="0.3">
      <c r="A3" s="35" t="s">
        <v>2</v>
      </c>
      <c r="B3" s="35"/>
      <c r="C3" s="74"/>
      <c r="D3" s="74"/>
      <c r="E3" s="74"/>
    </row>
    <row r="4" spans="1:5" ht="15.6" x14ac:dyDescent="0.3">
      <c r="A4" s="35"/>
      <c r="B4" s="35"/>
      <c r="C4" s="35"/>
      <c r="D4" s="35"/>
      <c r="E4" s="35"/>
    </row>
    <row r="5" spans="1:5" ht="15.6" x14ac:dyDescent="0.3">
      <c r="A5" s="8"/>
      <c r="B5" s="8"/>
      <c r="C5" s="8"/>
      <c r="D5" s="8"/>
      <c r="E5" s="8"/>
    </row>
    <row r="6" spans="1:5" ht="15.6" x14ac:dyDescent="0.3">
      <c r="A6" s="9" t="s">
        <v>307</v>
      </c>
      <c r="B6" s="9"/>
      <c r="C6" s="8"/>
      <c r="D6" s="8"/>
      <c r="E6" s="8"/>
    </row>
    <row r="7" spans="1:5" ht="15.6" x14ac:dyDescent="0.3">
      <c r="A7" s="35" t="s">
        <v>308</v>
      </c>
      <c r="B7" s="35"/>
      <c r="C7" s="28">
        <f>C8+C9*C10</f>
        <v>0.17077599999999998</v>
      </c>
      <c r="D7" s="8"/>
      <c r="E7" s="8"/>
    </row>
    <row r="8" spans="1:5" ht="15.6" x14ac:dyDescent="0.3">
      <c r="A8" s="35" t="s">
        <v>309</v>
      </c>
      <c r="B8" s="35"/>
      <c r="C8" s="29">
        <v>6.6699999999999995E-2</v>
      </c>
      <c r="D8" s="8"/>
      <c r="E8" s="8"/>
    </row>
    <row r="9" spans="1:5" ht="15.6" x14ac:dyDescent="0.3">
      <c r="A9" s="35" t="s">
        <v>310</v>
      </c>
      <c r="B9" s="35"/>
      <c r="C9" s="49">
        <v>1.47</v>
      </c>
      <c r="D9" s="8"/>
      <c r="E9" s="8"/>
    </row>
    <row r="10" spans="1:5" ht="15.6" x14ac:dyDescent="0.3">
      <c r="A10" s="35" t="s">
        <v>311</v>
      </c>
      <c r="B10" s="35"/>
      <c r="C10" s="50">
        <v>7.0800000000000002E-2</v>
      </c>
      <c r="D10" s="8"/>
      <c r="E10" s="8"/>
    </row>
    <row r="11" spans="1:5" ht="15.6" x14ac:dyDescent="0.3">
      <c r="A11" s="8"/>
      <c r="B11" s="8"/>
      <c r="C11" s="8"/>
      <c r="D11" s="8"/>
      <c r="E11" s="8"/>
    </row>
    <row r="12" spans="1:5" ht="15.6" x14ac:dyDescent="0.3">
      <c r="A12" s="8"/>
      <c r="B12" s="8"/>
      <c r="C12" s="8"/>
      <c r="D12" s="8"/>
      <c r="E12" s="8"/>
    </row>
    <row r="13" spans="1:5" ht="15.6" x14ac:dyDescent="0.3">
      <c r="A13" s="35" t="s">
        <v>312</v>
      </c>
      <c r="B13" s="35"/>
      <c r="C13" s="29">
        <f ca="1">'Ratio Analysis'!H26+'Ratio Analysis'!H37</f>
        <v>0.87249968640193087</v>
      </c>
      <c r="D13" s="8"/>
      <c r="E13" s="8" t="s">
        <v>339</v>
      </c>
    </row>
    <row r="14" spans="1:5" ht="15.6" x14ac:dyDescent="0.3">
      <c r="A14" s="35" t="s">
        <v>313</v>
      </c>
      <c r="B14" s="35"/>
      <c r="C14" s="51">
        <f ca="1">(('Ratio Analysis'!I8/'Ratio Analysis'!C8)^(1/7))-1</f>
        <v>0.19516685845490667</v>
      </c>
      <c r="D14" s="8"/>
      <c r="E14" s="8" t="s">
        <v>340</v>
      </c>
    </row>
    <row r="15" spans="1:5" ht="15.6" x14ac:dyDescent="0.3">
      <c r="A15" s="35" t="s">
        <v>314</v>
      </c>
      <c r="B15" s="35"/>
      <c r="C15" s="52">
        <v>8.1999999999999993</v>
      </c>
      <c r="D15" s="8"/>
      <c r="E15" s="8"/>
    </row>
    <row r="16" spans="1:5" ht="15.6" x14ac:dyDescent="0.3">
      <c r="A16" s="8"/>
      <c r="B16" s="8"/>
      <c r="C16" s="8"/>
      <c r="D16" s="8"/>
      <c r="E16" s="8"/>
    </row>
    <row r="17" spans="1:5" ht="15.6" x14ac:dyDescent="0.3">
      <c r="A17" s="8"/>
      <c r="B17" s="8"/>
      <c r="C17" s="8"/>
      <c r="D17" s="8"/>
      <c r="E17" s="8"/>
    </row>
    <row r="18" spans="1:5" ht="15.6" x14ac:dyDescent="0.3">
      <c r="A18" s="35" t="s">
        <v>315</v>
      </c>
      <c r="B18" s="35"/>
      <c r="C18" s="53" t="s">
        <v>341</v>
      </c>
      <c r="D18" s="41" t="s">
        <v>342</v>
      </c>
      <c r="E18" s="37"/>
    </row>
    <row r="19" spans="1:5" ht="15.6" x14ac:dyDescent="0.3">
      <c r="A19" s="35" t="s">
        <v>316</v>
      </c>
      <c r="B19" s="35"/>
      <c r="C19" s="15">
        <f ca="1">'Ratio Analysis'!H8</f>
        <v>0</v>
      </c>
      <c r="D19" s="15">
        <f ca="1">'Ratio Analysis'!I8</f>
        <v>62.769657528172473</v>
      </c>
      <c r="E19" s="15">
        <f ca="1">D19*(1+C14)/(C7-C14)</f>
        <v>-3075.7512915312968</v>
      </c>
    </row>
    <row r="20" spans="1:5" ht="15.6" x14ac:dyDescent="0.3">
      <c r="A20" s="35" t="s">
        <v>317</v>
      </c>
      <c r="B20" s="35"/>
      <c r="C20" s="8">
        <v>1</v>
      </c>
      <c r="D20" s="8">
        <v>2</v>
      </c>
      <c r="E20" s="8">
        <v>2</v>
      </c>
    </row>
    <row r="21" spans="1:5" ht="15.6" x14ac:dyDescent="0.3">
      <c r="A21" s="35" t="s">
        <v>318</v>
      </c>
      <c r="B21" s="35"/>
      <c r="C21" s="15">
        <f ca="1">C19/(1+$C$7)^C20</f>
        <v>0</v>
      </c>
      <c r="D21" s="15">
        <f t="shared" ref="D21:E21" ca="1" si="0">D19/(1+$C$7)^D20</f>
        <v>45.793320629120203</v>
      </c>
      <c r="E21" s="15">
        <f t="shared" ca="1" si="0"/>
        <v>-2243.9004865576494</v>
      </c>
    </row>
    <row r="22" spans="1:5" ht="15.6" x14ac:dyDescent="0.3">
      <c r="A22" s="35" t="s">
        <v>319</v>
      </c>
      <c r="B22" s="35"/>
      <c r="C22" s="15">
        <f ca="1">C21+D21+E21</f>
        <v>-2201.69493436619</v>
      </c>
      <c r="D22" s="15"/>
      <c r="E22" s="15"/>
    </row>
    <row r="23" spans="1:5" ht="15.6" x14ac:dyDescent="0.3">
      <c r="A23" s="35" t="s">
        <v>320</v>
      </c>
      <c r="B23" s="35"/>
      <c r="C23" s="31">
        <f ca="1">C22/'Ratio Analysis'!H6</f>
        <v>-2605.5561353446037</v>
      </c>
      <c r="D23" s="31"/>
      <c r="E23" s="31"/>
    </row>
    <row r="24" spans="1:5" ht="15.6" x14ac:dyDescent="0.3">
      <c r="A24" s="35" t="s">
        <v>343</v>
      </c>
      <c r="B24" s="35"/>
      <c r="C24" s="15">
        <v>581.1</v>
      </c>
      <c r="D24" s="8"/>
      <c r="E24" s="8"/>
    </row>
    <row r="25" spans="1:5" ht="15.6" x14ac:dyDescent="0.3">
      <c r="A25" s="35" t="s">
        <v>321</v>
      </c>
      <c r="B25" s="35"/>
      <c r="C25" s="8" t="s">
        <v>344</v>
      </c>
      <c r="D25" s="8"/>
      <c r="E25" s="8"/>
    </row>
    <row r="26" spans="1:5" ht="15.6" x14ac:dyDescent="0.3">
      <c r="A26" s="35" t="s">
        <v>322</v>
      </c>
      <c r="B26" s="35"/>
      <c r="C26" s="8" t="s">
        <v>323</v>
      </c>
      <c r="D26" s="8"/>
      <c r="E26" s="8"/>
    </row>
    <row r="27" spans="1:5" ht="15.6" x14ac:dyDescent="0.3">
      <c r="A27" s="8"/>
      <c r="B27" s="8"/>
      <c r="C27" s="8"/>
      <c r="D27" s="8"/>
      <c r="E27" s="8"/>
    </row>
    <row r="28" spans="1:5" ht="15.6" x14ac:dyDescent="0.3">
      <c r="A28" s="8"/>
      <c r="B28" s="8"/>
      <c r="C28" s="8"/>
      <c r="D28" s="8"/>
      <c r="E28" s="8"/>
    </row>
    <row r="29" spans="1:5" ht="15.6" x14ac:dyDescent="0.3">
      <c r="A29" s="35" t="s">
        <v>324</v>
      </c>
      <c r="B29" s="35"/>
      <c r="C29" s="53" t="s">
        <v>341</v>
      </c>
      <c r="D29" s="53" t="s">
        <v>342</v>
      </c>
      <c r="E29" s="37"/>
    </row>
    <row r="30" spans="1:5" ht="15.6" x14ac:dyDescent="0.3">
      <c r="A30" s="35" t="s">
        <v>24</v>
      </c>
      <c r="B30" s="35"/>
      <c r="C30" s="15">
        <f>'P&amp;L '!G34</f>
        <v>-1506.9345511628417</v>
      </c>
      <c r="D30" s="15">
        <f>'P&amp;L '!H34</f>
        <v>20591.41268606206</v>
      </c>
      <c r="E30" s="8"/>
    </row>
    <row r="31" spans="1:5" ht="15.6" x14ac:dyDescent="0.3">
      <c r="A31" s="35" t="s">
        <v>325</v>
      </c>
      <c r="B31" s="35"/>
      <c r="C31" s="15">
        <f>'P&amp;L '!G23</f>
        <v>4103.6176555358052</v>
      </c>
      <c r="D31" s="15">
        <f>'P&amp;L '!H23</f>
        <v>4512.874347978578</v>
      </c>
      <c r="E31" s="8"/>
    </row>
    <row r="32" spans="1:5" ht="15.6" x14ac:dyDescent="0.3">
      <c r="A32" s="35" t="s">
        <v>326</v>
      </c>
      <c r="B32" s="35"/>
      <c r="C32" s="54">
        <f>'Balance sheet'!G76</f>
        <v>223.29010770046443</v>
      </c>
      <c r="D32" s="54">
        <f>'Balance sheet'!H76</f>
        <v>303.55313309291341</v>
      </c>
      <c r="E32" s="8"/>
    </row>
    <row r="33" spans="1:7" ht="15.6" x14ac:dyDescent="0.3">
      <c r="A33" s="35" t="s">
        <v>327</v>
      </c>
      <c r="B33" s="35"/>
      <c r="C33" s="15">
        <f>'Capex model'!G6-'Capex model'!F6</f>
        <v>4276.6136792690522</v>
      </c>
      <c r="D33" s="15">
        <f>'Capex model'!H6-'Capex model'!G6</f>
        <v>4598.6720695366312</v>
      </c>
      <c r="E33" s="8"/>
    </row>
    <row r="34" spans="1:7" ht="15.6" x14ac:dyDescent="0.3">
      <c r="A34" s="35" t="s">
        <v>328</v>
      </c>
      <c r="B34" s="35"/>
      <c r="C34" s="54">
        <f>'Balance sheet'!G56-'Balance sheet'!F56+'Balance sheet'!G45-'Balance sheet'!F45</f>
        <v>0</v>
      </c>
      <c r="D34" s="54">
        <f>'Balance sheet'!H56-'Balance sheet'!G56+'Balance sheet'!H45-'Balance sheet'!G45</f>
        <v>0</v>
      </c>
      <c r="E34" s="8"/>
    </row>
    <row r="35" spans="1:7" ht="15.6" x14ac:dyDescent="0.3">
      <c r="A35" s="35" t="s">
        <v>324</v>
      </c>
      <c r="B35" s="35"/>
      <c r="C35" s="54">
        <f>C30+C31-C32-C33-C34</f>
        <v>-1903.2206825965532</v>
      </c>
      <c r="D35" s="84">
        <v>20202.060000000001</v>
      </c>
      <c r="E35" s="15">
        <f ca="1">D35*(1+C14)/(C7-C14)</f>
        <v>-989913.28320804483</v>
      </c>
      <c r="G35" t="s">
        <v>350</v>
      </c>
    </row>
    <row r="36" spans="1:7" ht="15.6" x14ac:dyDescent="0.3">
      <c r="A36" s="35" t="s">
        <v>329</v>
      </c>
      <c r="B36" s="35"/>
      <c r="C36" s="8">
        <v>1</v>
      </c>
      <c r="D36" s="8">
        <v>2</v>
      </c>
      <c r="E36" s="8">
        <v>2</v>
      </c>
    </row>
    <row r="37" spans="1:7" ht="15.6" x14ac:dyDescent="0.3">
      <c r="A37" s="35" t="s">
        <v>318</v>
      </c>
      <c r="B37" s="35"/>
      <c r="C37" s="15">
        <f>C35/(1+$C$7)^C36</f>
        <v>-1625.6061642846737</v>
      </c>
      <c r="D37" s="15">
        <f t="shared" ref="D37:E37" si="1">D35/(1+$C$7)^D36</f>
        <v>14738.321784430784</v>
      </c>
      <c r="E37" s="15">
        <f t="shared" ca="1" si="1"/>
        <v>-722186.77236888348</v>
      </c>
    </row>
    <row r="38" spans="1:7" ht="15.6" x14ac:dyDescent="0.3">
      <c r="A38" s="35" t="s">
        <v>319</v>
      </c>
      <c r="B38" s="35"/>
      <c r="C38" s="15">
        <f ca="1">C37+D37+E37</f>
        <v>-709074.05541263963</v>
      </c>
      <c r="D38" s="15"/>
      <c r="E38" s="15"/>
    </row>
    <row r="39" spans="1:7" ht="15.6" x14ac:dyDescent="0.3">
      <c r="A39" s="35" t="s">
        <v>320</v>
      </c>
      <c r="B39" s="35"/>
      <c r="C39" s="15">
        <f ca="1">C38/'Ratio Analysis'!H6</f>
        <v>-839140.89397945523</v>
      </c>
      <c r="D39" s="15"/>
      <c r="E39" s="15"/>
    </row>
    <row r="40" spans="1:7" ht="15.6" x14ac:dyDescent="0.3">
      <c r="A40" s="35" t="s">
        <v>351</v>
      </c>
      <c r="B40" s="35"/>
      <c r="C40" s="15">
        <f>C24</f>
        <v>581.1</v>
      </c>
      <c r="D40" s="8"/>
      <c r="E40" s="8"/>
    </row>
    <row r="41" spans="1:7" ht="15.6" x14ac:dyDescent="0.3">
      <c r="A41" s="35" t="s">
        <v>321</v>
      </c>
      <c r="B41" s="35"/>
      <c r="C41" s="8" t="s">
        <v>344</v>
      </c>
      <c r="D41" s="8"/>
      <c r="E41" s="8"/>
    </row>
    <row r="42" spans="1:7" ht="15.6" x14ac:dyDescent="0.3">
      <c r="A42" s="35" t="s">
        <v>330</v>
      </c>
      <c r="B42" s="35"/>
      <c r="C42" s="8" t="s">
        <v>323</v>
      </c>
      <c r="D42" s="8"/>
      <c r="E42" s="8"/>
    </row>
    <row r="43" spans="1:7" ht="15.6" x14ac:dyDescent="0.3">
      <c r="A43" s="8"/>
      <c r="B43" s="8"/>
      <c r="C43" s="8"/>
      <c r="D43" s="8"/>
      <c r="E43" s="8"/>
    </row>
    <row r="44" spans="1:7" ht="15.6" x14ac:dyDescent="0.3">
      <c r="A44" s="8"/>
      <c r="B44" s="8"/>
      <c r="C44" s="8"/>
      <c r="D44" s="8"/>
      <c r="E44" s="8"/>
    </row>
    <row r="45" spans="1:7" ht="15.6" x14ac:dyDescent="0.3">
      <c r="A45" s="35" t="s">
        <v>331</v>
      </c>
      <c r="B45" s="35"/>
      <c r="C45" s="28">
        <f ca="1">C46*C47+C48*C49</f>
        <v>0.11957980358855098</v>
      </c>
      <c r="D45" s="8"/>
      <c r="E45" s="8"/>
      <c r="G45" t="s">
        <v>352</v>
      </c>
    </row>
    <row r="46" spans="1:7" ht="15.6" x14ac:dyDescent="0.3">
      <c r="A46" s="35" t="s">
        <v>332</v>
      </c>
      <c r="B46" s="35"/>
      <c r="C46" s="29">
        <f>C7</f>
        <v>0.17077599999999998</v>
      </c>
      <c r="D46" s="8"/>
      <c r="E46" s="8"/>
    </row>
    <row r="47" spans="1:7" ht="15.6" x14ac:dyDescent="0.3">
      <c r="A47" s="35" t="s">
        <v>333</v>
      </c>
      <c r="B47" s="35"/>
      <c r="C47" s="15">
        <f ca="1">'Balance sheet'!G40/('Balance sheet'!G40+'Balance sheet'!G56+'Balance sheet'!G45)</f>
        <v>0.52599158982195149</v>
      </c>
      <c r="D47" s="8"/>
      <c r="E47" s="8"/>
    </row>
    <row r="48" spans="1:7" ht="15.6" x14ac:dyDescent="0.3">
      <c r="A48" s="35" t="s">
        <v>334</v>
      </c>
      <c r="B48" s="35"/>
      <c r="C48" s="12">
        <f>'P&amp;L '!G28*(1-'P&amp;L '!G32)</f>
        <v>6.2769063177468665E-2</v>
      </c>
      <c r="D48" s="8"/>
      <c r="E48" s="8"/>
    </row>
    <row r="49" spans="1:6" ht="15.6" x14ac:dyDescent="0.3">
      <c r="A49" s="35" t="s">
        <v>335</v>
      </c>
      <c r="B49" s="35"/>
      <c r="C49" s="15">
        <f ca="1">1-C47</f>
        <v>0.47400841017804851</v>
      </c>
      <c r="D49" s="8"/>
      <c r="E49" s="8"/>
    </row>
    <row r="50" spans="1:6" ht="15.6" x14ac:dyDescent="0.3">
      <c r="A50" s="8"/>
      <c r="B50" s="8"/>
      <c r="C50" s="8"/>
      <c r="D50" s="8"/>
      <c r="E50" s="8"/>
    </row>
    <row r="51" spans="1:6" ht="15.6" x14ac:dyDescent="0.3">
      <c r="A51" s="8"/>
      <c r="B51" s="8"/>
      <c r="C51" s="8"/>
      <c r="D51" s="8"/>
      <c r="E51" s="8"/>
    </row>
    <row r="52" spans="1:6" ht="15.6" x14ac:dyDescent="0.3">
      <c r="A52" s="35" t="s">
        <v>336</v>
      </c>
      <c r="B52" s="35"/>
      <c r="C52" s="55" t="s">
        <v>341</v>
      </c>
      <c r="D52" s="55" t="s">
        <v>342</v>
      </c>
      <c r="E52" s="56"/>
    </row>
    <row r="53" spans="1:6" ht="15.6" x14ac:dyDescent="0.3">
      <c r="A53" s="35" t="s">
        <v>24</v>
      </c>
      <c r="B53" s="35"/>
      <c r="C53" s="15">
        <f>'P&amp;L '!G34</f>
        <v>-1506.9345511628417</v>
      </c>
      <c r="D53" s="15">
        <f>'P&amp;L '!H34</f>
        <v>20591.41268606206</v>
      </c>
      <c r="E53" s="8"/>
    </row>
    <row r="54" spans="1:6" ht="15.6" x14ac:dyDescent="0.3">
      <c r="A54" s="35" t="s">
        <v>325</v>
      </c>
      <c r="B54" s="35"/>
      <c r="C54" s="15">
        <f>'P&amp;L '!G23</f>
        <v>4103.6176555358052</v>
      </c>
      <c r="D54" s="15">
        <f>'P&amp;L '!H23</f>
        <v>4512.874347978578</v>
      </c>
      <c r="E54" s="8"/>
    </row>
    <row r="55" spans="1:6" ht="15.6" x14ac:dyDescent="0.3">
      <c r="A55" s="35" t="s">
        <v>337</v>
      </c>
      <c r="B55" s="35"/>
      <c r="C55" s="15">
        <f>'Balance sheet'!G76</f>
        <v>223.29010770046443</v>
      </c>
      <c r="D55" s="15">
        <f>'Balance sheet'!H76</f>
        <v>303.55313309291341</v>
      </c>
      <c r="E55" s="8"/>
    </row>
    <row r="56" spans="1:6" ht="15.6" x14ac:dyDescent="0.3">
      <c r="A56" s="35" t="s">
        <v>327</v>
      </c>
      <c r="B56" s="35"/>
      <c r="C56" s="15">
        <f>'Capex model'!G6-'Capex model'!F6</f>
        <v>4276.6136792690522</v>
      </c>
      <c r="D56" s="15">
        <f>'Capex model'!H6-'Capex model'!G6</f>
        <v>4598.6720695366312</v>
      </c>
      <c r="E56" s="8"/>
    </row>
    <row r="57" spans="1:6" ht="15.6" x14ac:dyDescent="0.3">
      <c r="A57" s="35" t="s">
        <v>338</v>
      </c>
      <c r="B57" s="35"/>
      <c r="C57" s="15">
        <f>'P&amp;L '!G27</f>
        <v>875.09541389271078</v>
      </c>
      <c r="D57" s="15">
        <f>'P&amp;L '!H27</f>
        <v>919.31696847721605</v>
      </c>
      <c r="E57" s="8"/>
    </row>
    <row r="58" spans="1:6" ht="15.6" x14ac:dyDescent="0.3">
      <c r="A58" s="35" t="s">
        <v>336</v>
      </c>
      <c r="B58" s="35"/>
      <c r="C58" s="54">
        <f>C53+C54-C55-C56-C57</f>
        <v>-2778.3160964892641</v>
      </c>
      <c r="D58" s="54">
        <f>D53+D54-D55-D56-D57</f>
        <v>19282.744862933876</v>
      </c>
      <c r="E58" s="15">
        <f ca="1">D58*(1+C14)/(C45-C14)</f>
        <v>-304933.37040106283</v>
      </c>
    </row>
    <row r="59" spans="1:6" ht="15.6" x14ac:dyDescent="0.3">
      <c r="A59" s="35" t="s">
        <v>329</v>
      </c>
      <c r="B59" s="35"/>
      <c r="C59" s="8">
        <v>1</v>
      </c>
      <c r="D59" s="8">
        <v>2</v>
      </c>
      <c r="E59" s="8">
        <v>2</v>
      </c>
    </row>
    <row r="60" spans="1:6" ht="15.6" x14ac:dyDescent="0.3">
      <c r="A60" s="35" t="s">
        <v>318</v>
      </c>
      <c r="B60" s="35"/>
      <c r="C60" s="54">
        <f ca="1">C58/(1+$C$45)^C59</f>
        <v>-2481.5703959503576</v>
      </c>
      <c r="D60" s="54"/>
      <c r="E60" s="54"/>
      <c r="F60" s="48"/>
    </row>
    <row r="61" spans="1:6" ht="15.6" x14ac:dyDescent="0.3">
      <c r="A61" s="35" t="s">
        <v>319</v>
      </c>
      <c r="B61" s="35"/>
      <c r="C61" s="54">
        <f ca="1">C60+D60+E60</f>
        <v>-2481.5703959503576</v>
      </c>
      <c r="D61" s="54"/>
      <c r="E61" s="54"/>
    </row>
    <row r="62" spans="1:6" ht="15.6" x14ac:dyDescent="0.3">
      <c r="A62" s="35" t="s">
        <v>320</v>
      </c>
      <c r="B62" s="35"/>
      <c r="C62" s="8">
        <f ca="1">C61/'Ratio Analysis'!H6</f>
        <v>-2936.7696993495356</v>
      </c>
      <c r="D62" s="8"/>
      <c r="E62" s="8"/>
    </row>
    <row r="63" spans="1:6" ht="15.6" x14ac:dyDescent="0.3">
      <c r="A63" s="35" t="s">
        <v>353</v>
      </c>
      <c r="B63" s="35"/>
      <c r="C63" s="15">
        <f>C40</f>
        <v>581.1</v>
      </c>
      <c r="D63" s="8"/>
      <c r="E63" s="8"/>
    </row>
    <row r="64" spans="1:6" ht="15.6" x14ac:dyDescent="0.3">
      <c r="A64" s="35" t="s">
        <v>321</v>
      </c>
      <c r="B64" s="35"/>
      <c r="C64" s="8" t="s">
        <v>344</v>
      </c>
      <c r="D64" s="8"/>
      <c r="E64" s="8"/>
    </row>
    <row r="65" spans="1:5" ht="15.6" x14ac:dyDescent="0.3">
      <c r="A65" s="35" t="s">
        <v>322</v>
      </c>
      <c r="B65" s="35"/>
      <c r="C65" s="8" t="s">
        <v>323</v>
      </c>
      <c r="D65" s="8"/>
      <c r="E65" s="8"/>
    </row>
  </sheetData>
  <phoneticPr fontId="1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2CC0-3577-4FCB-95C5-BA91137E07E1}">
  <dimension ref="A1:G17"/>
  <sheetViews>
    <sheetView workbookViewId="0">
      <selection activeCell="D13" sqref="D13"/>
    </sheetView>
  </sheetViews>
  <sheetFormatPr defaultRowHeight="14.4" x14ac:dyDescent="0.3"/>
  <cols>
    <col min="1" max="1" width="32" customWidth="1"/>
    <col min="2" max="2" width="29" customWidth="1"/>
    <col min="3" max="3" width="41.77734375" customWidth="1"/>
    <col min="4" max="4" width="28.33203125" customWidth="1"/>
    <col min="5" max="5" width="9.109375" bestFit="1" customWidth="1"/>
    <col min="6" max="6" width="9.6640625" bestFit="1" customWidth="1"/>
  </cols>
  <sheetData>
    <row r="1" spans="1:7" ht="17.399999999999999" x14ac:dyDescent="0.3">
      <c r="A1" s="1" t="s">
        <v>1031</v>
      </c>
      <c r="B1" s="2"/>
      <c r="C1" s="2"/>
      <c r="D1" s="2"/>
      <c r="E1" s="2"/>
      <c r="F1" s="3"/>
    </row>
    <row r="2" spans="1:7" ht="17.399999999999999" x14ac:dyDescent="0.3">
      <c r="A2" s="1" t="s">
        <v>1015</v>
      </c>
      <c r="B2" s="3"/>
      <c r="C2" s="3"/>
      <c r="D2" s="3" t="s">
        <v>1016</v>
      </c>
      <c r="E2" s="3"/>
      <c r="F2" s="3"/>
    </row>
    <row r="3" spans="1:7" ht="17.399999999999999" x14ac:dyDescent="0.3">
      <c r="A3" s="1" t="s">
        <v>355</v>
      </c>
      <c r="B3" s="3"/>
      <c r="C3" s="3"/>
      <c r="D3" s="3"/>
      <c r="E3" s="3"/>
      <c r="F3" s="3"/>
    </row>
    <row r="4" spans="1:7" ht="17.399999999999999" x14ac:dyDescent="0.3">
      <c r="A4" s="1" t="s">
        <v>1017</v>
      </c>
      <c r="B4" s="1" t="s">
        <v>1018</v>
      </c>
      <c r="C4" s="1" t="s">
        <v>1019</v>
      </c>
      <c r="D4" s="1" t="s">
        <v>1020</v>
      </c>
      <c r="E4" s="1" t="s">
        <v>810</v>
      </c>
      <c r="F4" s="1" t="s">
        <v>1021</v>
      </c>
    </row>
    <row r="6" spans="1:7" ht="18" thickBot="1" x14ac:dyDescent="0.35">
      <c r="A6" s="1" t="s">
        <v>305</v>
      </c>
      <c r="B6" s="89">
        <f>'Ratio Analysis'!G30</f>
        <v>0.28431342877031568</v>
      </c>
      <c r="C6" s="89">
        <f>'Ratio Analysis'!G27</f>
        <v>0.49471868284858206</v>
      </c>
      <c r="D6" s="89">
        <f>'P&amp;L '!F6/'P&amp;L '!E6-1</f>
        <v>0.17658998646820034</v>
      </c>
      <c r="E6" s="89">
        <f>'Ratio Analysis'!G37</f>
        <v>0.70493771574365904</v>
      </c>
      <c r="F6" s="89">
        <f>'Ratio Analysis'!G43</f>
        <v>4.1548381945922926E-2</v>
      </c>
    </row>
    <row r="7" spans="1:7" ht="18" thickBot="1" x14ac:dyDescent="0.35">
      <c r="A7" s="1" t="s">
        <v>1022</v>
      </c>
      <c r="B7" s="88">
        <v>21.38</v>
      </c>
      <c r="C7" s="88">
        <v>24.02</v>
      </c>
      <c r="D7" s="88">
        <f>3809/3578-1</f>
        <v>6.4561207378423635E-2</v>
      </c>
      <c r="E7" s="88">
        <v>29.92</v>
      </c>
      <c r="F7" s="88">
        <v>31.38</v>
      </c>
      <c r="G7" s="86"/>
    </row>
    <row r="8" spans="1:7" ht="18" thickBot="1" x14ac:dyDescent="0.35">
      <c r="A8" s="1" t="s">
        <v>1023</v>
      </c>
      <c r="B8" s="88">
        <v>3.8</v>
      </c>
      <c r="C8" s="88">
        <v>5.3</v>
      </c>
      <c r="D8" s="88">
        <f>34156/31721-1</f>
        <v>7.676302764729992E-2</v>
      </c>
      <c r="E8" s="88">
        <v>11.44</v>
      </c>
      <c r="F8" s="88">
        <v>16.760000000000002</v>
      </c>
      <c r="G8" s="86"/>
    </row>
    <row r="9" spans="1:7" x14ac:dyDescent="0.3">
      <c r="B9" s="85"/>
      <c r="C9" s="85"/>
      <c r="D9" s="85"/>
      <c r="E9" s="85"/>
      <c r="F9" s="85"/>
    </row>
    <row r="10" spans="1:7" ht="17.399999999999999" x14ac:dyDescent="0.3">
      <c r="A10" s="1" t="s">
        <v>1024</v>
      </c>
      <c r="B10" s="87">
        <f>AVERAGE(B6:B8)</f>
        <v>8.4881044762567708</v>
      </c>
      <c r="C10" s="87">
        <f t="shared" ref="C10:F10" si="0">AVERAGE(C6:C8)</f>
        <v>9.938239560949528</v>
      </c>
      <c r="D10" s="87">
        <f t="shared" si="0"/>
        <v>0.1059714071646413</v>
      </c>
      <c r="E10" s="87">
        <f t="shared" si="0"/>
        <v>14.021645905247887</v>
      </c>
      <c r="F10" s="87">
        <f t="shared" si="0"/>
        <v>16.060516127315307</v>
      </c>
    </row>
    <row r="13" spans="1:7" ht="17.399999999999999" x14ac:dyDescent="0.3">
      <c r="A13" s="92" t="s">
        <v>1025</v>
      </c>
      <c r="B13" s="8" t="s">
        <v>1026</v>
      </c>
    </row>
    <row r="15" spans="1:7" ht="15.6" x14ac:dyDescent="0.3">
      <c r="B15" s="90" t="s">
        <v>1027</v>
      </c>
      <c r="C15" s="90"/>
    </row>
    <row r="16" spans="1:7" ht="15.6" x14ac:dyDescent="0.3">
      <c r="B16" s="90" t="s">
        <v>1029</v>
      </c>
      <c r="C16" s="90"/>
    </row>
    <row r="17" spans="2:3" ht="15.6" x14ac:dyDescent="0.3">
      <c r="B17" s="90" t="s">
        <v>1028</v>
      </c>
      <c r="C17" s="9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A07D-B965-40C1-BB68-0FDEF6E3190E}">
  <dimension ref="A1:M757"/>
  <sheetViews>
    <sheetView tabSelected="1" zoomScale="84" workbookViewId="0">
      <selection activeCell="J6" sqref="J6"/>
    </sheetView>
  </sheetViews>
  <sheetFormatPr defaultRowHeight="14.4" x14ac:dyDescent="0.3"/>
  <cols>
    <col min="1" max="1" width="50.21875" customWidth="1"/>
    <col min="2" max="3" width="13.5546875" bestFit="1" customWidth="1"/>
    <col min="4" max="4" width="20.21875" customWidth="1"/>
    <col min="10" max="10" width="12.44140625" bestFit="1" customWidth="1"/>
  </cols>
  <sheetData>
    <row r="1" spans="1:13" ht="17.399999999999999" x14ac:dyDescent="0.3">
      <c r="A1" s="1" t="s">
        <v>0</v>
      </c>
      <c r="B1" s="2"/>
      <c r="C1" s="2"/>
      <c r="D1" s="2"/>
    </row>
    <row r="2" spans="1:13" ht="17.399999999999999" x14ac:dyDescent="0.3">
      <c r="A2" s="35" t="s">
        <v>354</v>
      </c>
      <c r="B2" s="3"/>
      <c r="C2" s="3"/>
      <c r="D2" s="3"/>
    </row>
    <row r="3" spans="1:13" ht="17.399999999999999" x14ac:dyDescent="0.3">
      <c r="A3" s="1" t="s">
        <v>355</v>
      </c>
      <c r="B3" s="3"/>
      <c r="C3" s="3"/>
      <c r="D3" s="3"/>
    </row>
    <row r="4" spans="1:13" ht="17.399999999999999" x14ac:dyDescent="0.3">
      <c r="A4" s="1" t="s">
        <v>356</v>
      </c>
      <c r="B4" s="1" t="s">
        <v>357</v>
      </c>
      <c r="C4" s="1" t="s">
        <v>358</v>
      </c>
      <c r="D4" s="1" t="s">
        <v>359</v>
      </c>
    </row>
    <row r="5" spans="1:13" ht="15.6" x14ac:dyDescent="0.3">
      <c r="A5" s="8"/>
      <c r="B5" s="8"/>
      <c r="C5" s="8"/>
      <c r="D5" s="8"/>
      <c r="H5" s="58" t="s">
        <v>360</v>
      </c>
      <c r="I5" s="57"/>
      <c r="J5" s="8">
        <f>J6*J7</f>
        <v>1090.0477559423323</v>
      </c>
    </row>
    <row r="6" spans="1:13" ht="15.6" x14ac:dyDescent="0.3">
      <c r="A6" s="8" t="s">
        <v>366</v>
      </c>
      <c r="B6" s="8">
        <v>581.1</v>
      </c>
      <c r="C6" s="15">
        <f>'Ratio Analysis'!$G$23</f>
        <v>11117.15976331361</v>
      </c>
      <c r="D6" s="28">
        <f>B6/C6</f>
        <v>5.2270545028741754E-2</v>
      </c>
      <c r="H6" s="58" t="s">
        <v>361</v>
      </c>
      <c r="I6" s="57"/>
      <c r="J6" s="15">
        <v>24368.639999999999</v>
      </c>
    </row>
    <row r="7" spans="1:13" ht="15.6" x14ac:dyDescent="0.3">
      <c r="A7" s="8" t="s">
        <v>367</v>
      </c>
      <c r="B7" s="8">
        <v>594.1</v>
      </c>
      <c r="C7" s="15">
        <f>'Ratio Analysis'!$G$23</f>
        <v>11117.15976331361</v>
      </c>
      <c r="D7" s="28">
        <f t="shared" ref="D7:D70" si="0">B7/C7</f>
        <v>5.3439908452203533E-2</v>
      </c>
      <c r="H7" s="58" t="s">
        <v>362</v>
      </c>
      <c r="I7" s="57"/>
      <c r="J7" s="29">
        <f>AVERAGE(D6:D749)</f>
        <v>4.4731579437438128E-2</v>
      </c>
    </row>
    <row r="8" spans="1:13" ht="15.6" x14ac:dyDescent="0.3">
      <c r="A8" s="8" t="s">
        <v>368</v>
      </c>
      <c r="B8" s="8">
        <v>592.85</v>
      </c>
      <c r="C8" s="15">
        <f>'Ratio Analysis'!$G$23</f>
        <v>11117.15976331361</v>
      </c>
      <c r="D8" s="28">
        <f t="shared" si="0"/>
        <v>5.3327469661486056E-2</v>
      </c>
      <c r="H8" s="8"/>
      <c r="I8" s="8"/>
      <c r="J8" s="8"/>
    </row>
    <row r="9" spans="1:13" ht="15.6" x14ac:dyDescent="0.3">
      <c r="A9" s="59">
        <v>46358</v>
      </c>
      <c r="B9" s="8">
        <v>623.70000000000005</v>
      </c>
      <c r="C9" s="15">
        <f>'Ratio Analysis'!$G$23</f>
        <v>11117.15976331361</v>
      </c>
      <c r="D9" s="28">
        <f t="shared" si="0"/>
        <v>5.6102459016393443E-2</v>
      </c>
      <c r="H9" s="8"/>
      <c r="I9" s="8"/>
      <c r="J9" s="8"/>
    </row>
    <row r="10" spans="1:13" ht="15.6" x14ac:dyDescent="0.3">
      <c r="A10" s="59">
        <v>46328</v>
      </c>
      <c r="B10" s="8">
        <v>628.54999999999995</v>
      </c>
      <c r="C10" s="15">
        <f>'Ratio Analysis'!$G$23</f>
        <v>11117.15976331361</v>
      </c>
      <c r="D10" s="28">
        <f t="shared" si="0"/>
        <v>5.6538721524377257E-2</v>
      </c>
      <c r="H10" s="58" t="s">
        <v>363</v>
      </c>
      <c r="I10" s="58"/>
      <c r="J10" s="58"/>
      <c r="K10" s="15">
        <f>DCF!C40</f>
        <v>581.1</v>
      </c>
      <c r="L10" s="15"/>
      <c r="M10" s="8"/>
    </row>
    <row r="11" spans="1:13" ht="15.6" x14ac:dyDescent="0.3">
      <c r="A11" s="59">
        <v>46297</v>
      </c>
      <c r="B11" s="8">
        <v>617.70000000000005</v>
      </c>
      <c r="C11" s="15">
        <f>'Ratio Analysis'!$G$23</f>
        <v>11117.15976331361</v>
      </c>
      <c r="D11" s="28">
        <f t="shared" si="0"/>
        <v>5.5562752820949544E-2</v>
      </c>
      <c r="H11" s="58" t="s">
        <v>364</v>
      </c>
      <c r="I11" s="58"/>
      <c r="J11" s="58"/>
      <c r="K11" s="8" t="s">
        <v>344</v>
      </c>
      <c r="L11" s="8"/>
      <c r="M11" s="8"/>
    </row>
    <row r="12" spans="1:13" ht="15.6" x14ac:dyDescent="0.3">
      <c r="A12" s="59">
        <v>46267</v>
      </c>
      <c r="B12" s="8">
        <v>629.1</v>
      </c>
      <c r="C12" s="15">
        <f>'Ratio Analysis'!$G$23</f>
        <v>11117.15976331361</v>
      </c>
      <c r="D12" s="28">
        <f t="shared" si="0"/>
        <v>5.6588194592292952E-2</v>
      </c>
      <c r="H12" s="58" t="s">
        <v>365</v>
      </c>
      <c r="I12" s="58"/>
      <c r="J12" s="58"/>
      <c r="K12" s="8" t="s">
        <v>323</v>
      </c>
      <c r="L12" s="8"/>
      <c r="M12" s="8"/>
    </row>
    <row r="13" spans="1:13" ht="15.6" x14ac:dyDescent="0.3">
      <c r="A13" s="59">
        <v>46175</v>
      </c>
      <c r="B13" s="8">
        <v>608.95000000000005</v>
      </c>
      <c r="C13" s="15">
        <f>'Ratio Analysis'!$G$23</f>
        <v>11117.15976331361</v>
      </c>
      <c r="D13" s="28">
        <f t="shared" si="0"/>
        <v>5.4775681285927191E-2</v>
      </c>
      <c r="K13" s="8"/>
      <c r="L13" s="8"/>
      <c r="M13" s="8"/>
    </row>
    <row r="14" spans="1:13" ht="15.6" x14ac:dyDescent="0.3">
      <c r="A14" s="59">
        <v>46144</v>
      </c>
      <c r="B14" s="8">
        <v>610.79999999999995</v>
      </c>
      <c r="C14" s="15">
        <f>'Ratio Analysis'!$G$23</f>
        <v>11117.15976331361</v>
      </c>
      <c r="D14" s="28">
        <f t="shared" si="0"/>
        <v>5.494209069618905E-2</v>
      </c>
    </row>
    <row r="15" spans="1:13" ht="15.6" x14ac:dyDescent="0.3">
      <c r="A15" s="59">
        <v>46114</v>
      </c>
      <c r="B15" s="8">
        <v>639.25</v>
      </c>
      <c r="C15" s="15">
        <f>'Ratio Analysis'!$G$23</f>
        <v>11117.15976331361</v>
      </c>
      <c r="D15" s="28">
        <f t="shared" si="0"/>
        <v>5.7501197572918883E-2</v>
      </c>
    </row>
    <row r="16" spans="1:13" ht="15.6" x14ac:dyDescent="0.3">
      <c r="A16" s="59">
        <v>46083</v>
      </c>
      <c r="B16" s="8">
        <v>628.25</v>
      </c>
      <c r="C16" s="15">
        <f>'Ratio Analysis'!$G$23</f>
        <v>11117.15976331361</v>
      </c>
      <c r="D16" s="28">
        <f t="shared" si="0"/>
        <v>5.6511736214605063E-2</v>
      </c>
    </row>
    <row r="17" spans="1:4" ht="15.6" x14ac:dyDescent="0.3">
      <c r="A17" s="59">
        <v>46055</v>
      </c>
      <c r="B17" s="8">
        <v>610.1</v>
      </c>
      <c r="C17" s="15">
        <f>'Ratio Analysis'!$G$23</f>
        <v>11117.15976331361</v>
      </c>
      <c r="D17" s="28">
        <f t="shared" si="0"/>
        <v>5.4879124973387268E-2</v>
      </c>
    </row>
    <row r="18" spans="1:4" ht="15.6" x14ac:dyDescent="0.3">
      <c r="A18" s="59">
        <v>46024</v>
      </c>
      <c r="B18" s="8">
        <v>570.1</v>
      </c>
      <c r="C18" s="15">
        <f>'Ratio Analysis'!$G$23</f>
        <v>11117.15976331361</v>
      </c>
      <c r="D18" s="28">
        <f t="shared" si="0"/>
        <v>5.1281083670427934E-2</v>
      </c>
    </row>
    <row r="19" spans="1:4" ht="15.6" x14ac:dyDescent="0.3">
      <c r="A19" s="8" t="s">
        <v>369</v>
      </c>
      <c r="B19" s="8">
        <v>628.5</v>
      </c>
      <c r="C19" s="15">
        <f>'Ratio Analysis'!$G$23</f>
        <v>11117.15976331361</v>
      </c>
      <c r="D19" s="28">
        <f t="shared" si="0"/>
        <v>5.6534223972748564E-2</v>
      </c>
    </row>
    <row r="20" spans="1:4" ht="15.6" x14ac:dyDescent="0.3">
      <c r="A20" s="8" t="s">
        <v>370</v>
      </c>
      <c r="B20" s="8">
        <v>715.2</v>
      </c>
      <c r="C20" s="15">
        <f>'Ratio Analysis'!$G$23</f>
        <v>11117.15976331361</v>
      </c>
      <c r="D20" s="28">
        <f t="shared" si="0"/>
        <v>6.4332978496912926E-2</v>
      </c>
    </row>
    <row r="21" spans="1:4" ht="15.6" x14ac:dyDescent="0.3">
      <c r="A21" s="8" t="s">
        <v>371</v>
      </c>
      <c r="B21" s="8">
        <v>708.2</v>
      </c>
      <c r="C21" s="15">
        <f>'Ratio Analysis'!$G$23</f>
        <v>11117.15976331361</v>
      </c>
      <c r="D21" s="28">
        <f t="shared" si="0"/>
        <v>6.3703321268895038E-2</v>
      </c>
    </row>
    <row r="22" spans="1:4" ht="15.6" x14ac:dyDescent="0.3">
      <c r="A22" s="8" t="s">
        <v>372</v>
      </c>
      <c r="B22" s="8">
        <v>727.2</v>
      </c>
      <c r="C22" s="15">
        <f>'Ratio Analysis'!$G$23</f>
        <v>11117.15976331361</v>
      </c>
      <c r="D22" s="28">
        <f t="shared" si="0"/>
        <v>6.5412390887800723E-2</v>
      </c>
    </row>
    <row r="23" spans="1:4" ht="15.6" x14ac:dyDescent="0.3">
      <c r="A23" s="8" t="s">
        <v>373</v>
      </c>
      <c r="B23" s="8">
        <v>698.7</v>
      </c>
      <c r="C23" s="15">
        <f>'Ratio Analysis'!$G$23</f>
        <v>11117.15976331361</v>
      </c>
      <c r="D23" s="28">
        <f t="shared" si="0"/>
        <v>6.2848786459442196E-2</v>
      </c>
    </row>
    <row r="24" spans="1:4" ht="15.6" x14ac:dyDescent="0.3">
      <c r="A24" s="8" t="s">
        <v>374</v>
      </c>
      <c r="B24" s="8">
        <v>668.25</v>
      </c>
      <c r="C24" s="15">
        <f>'Ratio Analysis'!$G$23</f>
        <v>11117.15976331361</v>
      </c>
      <c r="D24" s="28">
        <f t="shared" si="0"/>
        <v>6.0109777517564404E-2</v>
      </c>
    </row>
    <row r="25" spans="1:4" ht="15.6" x14ac:dyDescent="0.3">
      <c r="A25" s="8" t="s">
        <v>375</v>
      </c>
      <c r="B25" s="8">
        <v>697.55</v>
      </c>
      <c r="C25" s="15">
        <f>'Ratio Analysis'!$G$23</f>
        <v>11117.15976331361</v>
      </c>
      <c r="D25" s="28">
        <f t="shared" si="0"/>
        <v>6.2745342771982113E-2</v>
      </c>
    </row>
    <row r="26" spans="1:4" ht="15.6" x14ac:dyDescent="0.3">
      <c r="A26" s="8" t="s">
        <v>376</v>
      </c>
      <c r="B26" s="8">
        <v>680.75</v>
      </c>
      <c r="C26" s="15">
        <f>'Ratio Analysis'!$G$23</f>
        <v>11117.15976331361</v>
      </c>
      <c r="D26" s="28">
        <f t="shared" si="0"/>
        <v>6.1234165424739195E-2</v>
      </c>
    </row>
    <row r="27" spans="1:4" ht="15.6" x14ac:dyDescent="0.3">
      <c r="A27" s="8" t="s">
        <v>377</v>
      </c>
      <c r="B27" s="8">
        <v>660.4</v>
      </c>
      <c r="C27" s="15">
        <f>'Ratio Analysis'!$G$23</f>
        <v>11117.15976331361</v>
      </c>
      <c r="D27" s="28">
        <f t="shared" si="0"/>
        <v>5.9403661911858627E-2</v>
      </c>
    </row>
    <row r="28" spans="1:4" ht="15.6" x14ac:dyDescent="0.3">
      <c r="A28" s="8" t="s">
        <v>378</v>
      </c>
      <c r="B28" s="8">
        <v>637.75</v>
      </c>
      <c r="C28" s="15">
        <f>'Ratio Analysis'!$G$23</f>
        <v>11117.15976331361</v>
      </c>
      <c r="D28" s="28">
        <f t="shared" si="0"/>
        <v>5.7366271024057905E-2</v>
      </c>
    </row>
    <row r="29" spans="1:4" ht="15.6" x14ac:dyDescent="0.3">
      <c r="A29" s="8" t="s">
        <v>379</v>
      </c>
      <c r="B29" s="8">
        <v>654.20000000000005</v>
      </c>
      <c r="C29" s="15">
        <f>'Ratio Analysis'!$G$23</f>
        <v>11117.15976331361</v>
      </c>
      <c r="D29" s="28">
        <f t="shared" si="0"/>
        <v>5.8845965509899942E-2</v>
      </c>
    </row>
    <row r="30" spans="1:4" ht="15.6" x14ac:dyDescent="0.3">
      <c r="A30" s="8" t="s">
        <v>380</v>
      </c>
      <c r="B30" s="8">
        <v>629.85</v>
      </c>
      <c r="C30" s="15">
        <f>'Ratio Analysis'!$G$23</f>
        <v>11117.15976331361</v>
      </c>
      <c r="D30" s="28">
        <f t="shared" si="0"/>
        <v>5.6655657866723441E-2</v>
      </c>
    </row>
    <row r="31" spans="1:4" ht="15.6" x14ac:dyDescent="0.3">
      <c r="A31" s="59">
        <v>46357</v>
      </c>
      <c r="B31" s="8">
        <v>628.25</v>
      </c>
      <c r="C31" s="15">
        <f>'Ratio Analysis'!$G$23</f>
        <v>11117.15976331361</v>
      </c>
      <c r="D31" s="28">
        <f t="shared" si="0"/>
        <v>5.6511736214605063E-2</v>
      </c>
    </row>
    <row r="32" spans="1:4" ht="15.6" x14ac:dyDescent="0.3">
      <c r="A32" s="59">
        <v>46266</v>
      </c>
      <c r="B32" s="8">
        <v>606.45000000000005</v>
      </c>
      <c r="C32" s="15">
        <f>'Ratio Analysis'!$G$23</f>
        <v>11117.15976331361</v>
      </c>
      <c r="D32" s="28">
        <f t="shared" si="0"/>
        <v>5.455080370449223E-2</v>
      </c>
    </row>
    <row r="33" spans="1:4" ht="15.6" x14ac:dyDescent="0.3">
      <c r="A33" s="59">
        <v>46235</v>
      </c>
      <c r="B33" s="8">
        <v>590.75</v>
      </c>
      <c r="C33" s="15">
        <f>'Ratio Analysis'!$G$23</f>
        <v>11117.15976331361</v>
      </c>
      <c r="D33" s="28">
        <f t="shared" si="0"/>
        <v>5.3138572493080689E-2</v>
      </c>
    </row>
    <row r="34" spans="1:4" ht="15.6" x14ac:dyDescent="0.3">
      <c r="A34" s="59">
        <v>46204</v>
      </c>
      <c r="B34" s="8">
        <v>630</v>
      </c>
      <c r="C34" s="15">
        <f>'Ratio Analysis'!$G$23</f>
        <v>11117.15976331361</v>
      </c>
      <c r="D34" s="28">
        <f t="shared" si="0"/>
        <v>5.6669150521609535E-2</v>
      </c>
    </row>
    <row r="35" spans="1:4" ht="15.6" x14ac:dyDescent="0.3">
      <c r="A35" s="59">
        <v>46174</v>
      </c>
      <c r="B35" s="8">
        <v>643.1</v>
      </c>
      <c r="C35" s="15">
        <f>'Ratio Analysis'!$G$23</f>
        <v>11117.15976331361</v>
      </c>
      <c r="D35" s="28">
        <f t="shared" si="0"/>
        <v>5.7847509048328721E-2</v>
      </c>
    </row>
    <row r="36" spans="1:4" ht="15.6" x14ac:dyDescent="0.3">
      <c r="A36" s="59">
        <v>46143</v>
      </c>
      <c r="B36" s="8">
        <v>628.6</v>
      </c>
      <c r="C36" s="15">
        <f>'Ratio Analysis'!$G$23</f>
        <v>11117.15976331361</v>
      </c>
      <c r="D36" s="28">
        <f t="shared" si="0"/>
        <v>5.6543219076005964E-2</v>
      </c>
    </row>
    <row r="37" spans="1:4" ht="15.6" x14ac:dyDescent="0.3">
      <c r="A37" s="59">
        <v>46054</v>
      </c>
      <c r="B37" s="8">
        <v>628.79999999999995</v>
      </c>
      <c r="C37" s="15">
        <f>'Ratio Analysis'!$G$23</f>
        <v>11117.15976331361</v>
      </c>
      <c r="D37" s="28">
        <f t="shared" si="0"/>
        <v>5.6561209282520751E-2</v>
      </c>
    </row>
    <row r="38" spans="1:4" ht="15.6" x14ac:dyDescent="0.3">
      <c r="A38" s="59">
        <v>46023</v>
      </c>
      <c r="B38" s="8">
        <v>611.95000000000005</v>
      </c>
      <c r="C38" s="15">
        <f>'Ratio Analysis'!$G$23</f>
        <v>11117.15976331361</v>
      </c>
      <c r="D38" s="28">
        <f t="shared" si="0"/>
        <v>5.504553438364914E-2</v>
      </c>
    </row>
    <row r="39" spans="1:4" ht="15.6" x14ac:dyDescent="0.3">
      <c r="A39" s="8" t="s">
        <v>381</v>
      </c>
      <c r="B39" s="8">
        <v>612.45000000000005</v>
      </c>
      <c r="C39" s="15">
        <f>'Ratio Analysis'!$G$23</f>
        <v>11117.15976331361</v>
      </c>
      <c r="D39" s="28">
        <f t="shared" si="0"/>
        <v>5.5090509899936135E-2</v>
      </c>
    </row>
    <row r="40" spans="1:4" ht="15.6" x14ac:dyDescent="0.3">
      <c r="A40" s="8" t="s">
        <v>382</v>
      </c>
      <c r="B40" s="8">
        <v>625.29999999999995</v>
      </c>
      <c r="C40" s="15">
        <f>'Ratio Analysis'!$G$23</f>
        <v>11117.15976331361</v>
      </c>
      <c r="D40" s="28">
        <f t="shared" si="0"/>
        <v>5.6246380668511807E-2</v>
      </c>
    </row>
    <row r="41" spans="1:4" ht="15.6" x14ac:dyDescent="0.3">
      <c r="A41" s="8" t="s">
        <v>383</v>
      </c>
      <c r="B41" s="8">
        <v>618.54999999999995</v>
      </c>
      <c r="C41" s="15">
        <f>'Ratio Analysis'!$G$23</f>
        <v>11117.15976331361</v>
      </c>
      <c r="D41" s="28">
        <f t="shared" si="0"/>
        <v>5.563921119863742E-2</v>
      </c>
    </row>
    <row r="42" spans="1:4" ht="15.6" x14ac:dyDescent="0.3">
      <c r="A42" s="8" t="s">
        <v>384</v>
      </c>
      <c r="B42" s="8">
        <v>636.85</v>
      </c>
      <c r="C42" s="15">
        <f>'Ratio Analysis'!$G$23</f>
        <v>11117.15976331361</v>
      </c>
      <c r="D42" s="28">
        <f t="shared" si="0"/>
        <v>5.7285315094741322E-2</v>
      </c>
    </row>
    <row r="43" spans="1:4" ht="15.6" x14ac:dyDescent="0.3">
      <c r="A43" s="8" t="s">
        <v>385</v>
      </c>
      <c r="B43" s="8">
        <v>624.85</v>
      </c>
      <c r="C43" s="15">
        <f>'Ratio Analysis'!$G$23</f>
        <v>11117.15976331361</v>
      </c>
      <c r="D43" s="28">
        <f t="shared" si="0"/>
        <v>5.6205902703853526E-2</v>
      </c>
    </row>
    <row r="44" spans="1:4" ht="15.6" x14ac:dyDescent="0.3">
      <c r="A44" s="8" t="s">
        <v>386</v>
      </c>
      <c r="B44" s="8">
        <v>609.79999999999995</v>
      </c>
      <c r="C44" s="15">
        <f>'Ratio Analysis'!$G$23</f>
        <v>11117.15976331361</v>
      </c>
      <c r="D44" s="28">
        <f t="shared" si="0"/>
        <v>5.4852139663615067E-2</v>
      </c>
    </row>
    <row r="45" spans="1:4" ht="15.6" x14ac:dyDescent="0.3">
      <c r="A45" s="8" t="s">
        <v>387</v>
      </c>
      <c r="B45" s="8">
        <v>606.5</v>
      </c>
      <c r="C45" s="15">
        <f>'Ratio Analysis'!$G$23</f>
        <v>11117.15976331361</v>
      </c>
      <c r="D45" s="28">
        <f t="shared" si="0"/>
        <v>5.4555301256120924E-2</v>
      </c>
    </row>
    <row r="46" spans="1:4" ht="15.6" x14ac:dyDescent="0.3">
      <c r="A46" s="8" t="s">
        <v>388</v>
      </c>
      <c r="B46" s="8">
        <v>588.75</v>
      </c>
      <c r="C46" s="15">
        <f>'Ratio Analysis'!$G$23</f>
        <v>11117.15976331361</v>
      </c>
      <c r="D46" s="28">
        <f t="shared" si="0"/>
        <v>5.2958670427932723E-2</v>
      </c>
    </row>
    <row r="47" spans="1:4" ht="15.6" x14ac:dyDescent="0.3">
      <c r="A47" s="8" t="s">
        <v>389</v>
      </c>
      <c r="B47" s="8">
        <v>592.15</v>
      </c>
      <c r="C47" s="15">
        <f>'Ratio Analysis'!$G$23</f>
        <v>11117.15976331361</v>
      </c>
      <c r="D47" s="28">
        <f t="shared" si="0"/>
        <v>5.326450393868426E-2</v>
      </c>
    </row>
    <row r="48" spans="1:4" ht="15.6" x14ac:dyDescent="0.3">
      <c r="A48" s="8" t="s">
        <v>390</v>
      </c>
      <c r="B48" s="8">
        <v>578.29999999999995</v>
      </c>
      <c r="C48" s="15">
        <f>'Ratio Analysis'!$G$23</f>
        <v>11117.15976331361</v>
      </c>
      <c r="D48" s="28">
        <f t="shared" si="0"/>
        <v>5.2018682137534591E-2</v>
      </c>
    </row>
    <row r="49" spans="1:4" ht="15.6" x14ac:dyDescent="0.3">
      <c r="A49" s="8" t="s">
        <v>391</v>
      </c>
      <c r="B49" s="8">
        <v>567.70000000000005</v>
      </c>
      <c r="C49" s="15">
        <f>'Ratio Analysis'!$G$23</f>
        <v>11117.15976331361</v>
      </c>
      <c r="D49" s="28">
        <f t="shared" si="0"/>
        <v>5.1065201192250373E-2</v>
      </c>
    </row>
    <row r="50" spans="1:4" ht="15.6" x14ac:dyDescent="0.3">
      <c r="A50" s="8" t="s">
        <v>392</v>
      </c>
      <c r="B50" s="8">
        <v>568.04999999999995</v>
      </c>
      <c r="C50" s="15">
        <f>'Ratio Analysis'!$G$23</f>
        <v>11117.15976331361</v>
      </c>
      <c r="D50" s="28">
        <f t="shared" si="0"/>
        <v>5.109668405365126E-2</v>
      </c>
    </row>
    <row r="51" spans="1:4" ht="15.6" x14ac:dyDescent="0.3">
      <c r="A51" s="59">
        <v>46003</v>
      </c>
      <c r="B51" s="8">
        <v>561.65</v>
      </c>
      <c r="C51" s="15">
        <f>'Ratio Analysis'!$G$23</f>
        <v>11117.15976331361</v>
      </c>
      <c r="D51" s="28">
        <f t="shared" si="0"/>
        <v>5.0520997445177768E-2</v>
      </c>
    </row>
    <row r="52" spans="1:4" ht="15.6" x14ac:dyDescent="0.3">
      <c r="A52" s="59">
        <v>45973</v>
      </c>
      <c r="B52" s="8">
        <v>522.65</v>
      </c>
      <c r="C52" s="15">
        <f>'Ratio Analysis'!$G$23</f>
        <v>11117.15976331361</v>
      </c>
      <c r="D52" s="28">
        <f t="shared" si="0"/>
        <v>4.7012907174792416E-2</v>
      </c>
    </row>
    <row r="53" spans="1:4" ht="15.6" x14ac:dyDescent="0.3">
      <c r="A53" s="59">
        <v>45942</v>
      </c>
      <c r="B53" s="8">
        <v>512.65</v>
      </c>
      <c r="C53" s="15">
        <f>'Ratio Analysis'!$G$23</f>
        <v>11117.15976331361</v>
      </c>
      <c r="D53" s="28">
        <f t="shared" si="0"/>
        <v>4.6113396849052586E-2</v>
      </c>
    </row>
    <row r="54" spans="1:4" ht="15.6" x14ac:dyDescent="0.3">
      <c r="A54" s="59">
        <v>45912</v>
      </c>
      <c r="B54" s="8">
        <v>491.45</v>
      </c>
      <c r="C54" s="15">
        <f>'Ratio Analysis'!$G$23</f>
        <v>11117.15976331361</v>
      </c>
      <c r="D54" s="28">
        <f t="shared" si="0"/>
        <v>4.4206434958484135E-2</v>
      </c>
    </row>
    <row r="55" spans="1:4" ht="15.6" x14ac:dyDescent="0.3">
      <c r="A55" s="59">
        <v>45881</v>
      </c>
      <c r="B55" s="8">
        <v>490.45</v>
      </c>
      <c r="C55" s="15">
        <f>'Ratio Analysis'!$G$23</f>
        <v>11117.15976331361</v>
      </c>
      <c r="D55" s="28">
        <f t="shared" si="0"/>
        <v>4.4116483925910152E-2</v>
      </c>
    </row>
    <row r="56" spans="1:4" ht="15.6" x14ac:dyDescent="0.3">
      <c r="A56" s="59">
        <v>45789</v>
      </c>
      <c r="B56" s="8">
        <v>498.1</v>
      </c>
      <c r="C56" s="15">
        <f>'Ratio Analysis'!$G$23</f>
        <v>11117.15976331361</v>
      </c>
      <c r="D56" s="28">
        <f t="shared" si="0"/>
        <v>4.4804609325101129E-2</v>
      </c>
    </row>
    <row r="57" spans="1:4" ht="15.6" x14ac:dyDescent="0.3">
      <c r="A57" s="59">
        <v>45759</v>
      </c>
      <c r="B57" s="8">
        <v>496.75</v>
      </c>
      <c r="C57" s="15">
        <f>'Ratio Analysis'!$G$23</f>
        <v>11117.15976331361</v>
      </c>
      <c r="D57" s="28">
        <f t="shared" si="0"/>
        <v>4.4683175431126251E-2</v>
      </c>
    </row>
    <row r="58" spans="1:4" ht="15.6" x14ac:dyDescent="0.3">
      <c r="A58" s="59">
        <v>45728</v>
      </c>
      <c r="B58" s="8">
        <v>504.4</v>
      </c>
      <c r="C58" s="15">
        <f>'Ratio Analysis'!$G$23</f>
        <v>11117.15976331361</v>
      </c>
      <c r="D58" s="28">
        <f t="shared" si="0"/>
        <v>4.5371300830317221E-2</v>
      </c>
    </row>
    <row r="59" spans="1:4" ht="15.6" x14ac:dyDescent="0.3">
      <c r="A59" s="59">
        <v>45700</v>
      </c>
      <c r="B59" s="8">
        <v>495.65</v>
      </c>
      <c r="C59" s="15">
        <f>'Ratio Analysis'!$G$23</f>
        <v>11117.15976331361</v>
      </c>
      <c r="D59" s="28">
        <f t="shared" si="0"/>
        <v>4.4584229295294868E-2</v>
      </c>
    </row>
    <row r="60" spans="1:4" ht="15.6" x14ac:dyDescent="0.3">
      <c r="A60" s="59">
        <v>45669</v>
      </c>
      <c r="B60" s="8">
        <v>499.85</v>
      </c>
      <c r="C60" s="15">
        <f>'Ratio Analysis'!$G$23</f>
        <v>11117.15976331361</v>
      </c>
      <c r="D60" s="28">
        <f t="shared" si="0"/>
        <v>4.4962023632105601E-2</v>
      </c>
    </row>
    <row r="61" spans="1:4" ht="15.6" x14ac:dyDescent="0.3">
      <c r="A61" s="8" t="s">
        <v>393</v>
      </c>
      <c r="B61" s="8">
        <v>485.2</v>
      </c>
      <c r="C61" s="15">
        <f>'Ratio Analysis'!$G$23</f>
        <v>11117.15976331361</v>
      </c>
      <c r="D61" s="28">
        <f t="shared" si="0"/>
        <v>4.3644241004896743E-2</v>
      </c>
    </row>
    <row r="62" spans="1:4" ht="15.6" x14ac:dyDescent="0.3">
      <c r="A62" s="8" t="s">
        <v>394</v>
      </c>
      <c r="B62" s="8">
        <v>474.55</v>
      </c>
      <c r="C62" s="15">
        <f>'Ratio Analysis'!$G$23</f>
        <v>11117.15976331361</v>
      </c>
      <c r="D62" s="28">
        <f t="shared" si="0"/>
        <v>4.2686262507983817E-2</v>
      </c>
    </row>
    <row r="63" spans="1:4" ht="15.6" x14ac:dyDescent="0.3">
      <c r="A63" s="8" t="s">
        <v>395</v>
      </c>
      <c r="B63" s="8">
        <v>470.25</v>
      </c>
      <c r="C63" s="15">
        <f>'Ratio Analysis'!$G$23</f>
        <v>11117.15976331361</v>
      </c>
      <c r="D63" s="28">
        <f t="shared" si="0"/>
        <v>4.2299473067915691E-2</v>
      </c>
    </row>
    <row r="64" spans="1:4" ht="15.6" x14ac:dyDescent="0.3">
      <c r="A64" s="8" t="s">
        <v>396</v>
      </c>
      <c r="B64" s="8">
        <v>462.6</v>
      </c>
      <c r="C64" s="15">
        <f>'Ratio Analysis'!$G$23</f>
        <v>11117.15976331361</v>
      </c>
      <c r="D64" s="28">
        <f t="shared" si="0"/>
        <v>4.1611347668724721E-2</v>
      </c>
    </row>
    <row r="65" spans="1:4" ht="15.6" x14ac:dyDescent="0.3">
      <c r="A65" s="8" t="s">
        <v>397</v>
      </c>
      <c r="B65" s="8">
        <v>454</v>
      </c>
      <c r="C65" s="15">
        <f>'Ratio Analysis'!$G$23</f>
        <v>11117.15976331361</v>
      </c>
      <c r="D65" s="28">
        <f t="shared" si="0"/>
        <v>4.0837768788588462E-2</v>
      </c>
    </row>
    <row r="66" spans="1:4" ht="15.6" x14ac:dyDescent="0.3">
      <c r="A66" s="8" t="s">
        <v>398</v>
      </c>
      <c r="B66" s="8">
        <v>458.3</v>
      </c>
      <c r="C66" s="15">
        <f>'Ratio Analysis'!$G$23</f>
        <v>11117.15976331361</v>
      </c>
      <c r="D66" s="28">
        <f t="shared" si="0"/>
        <v>4.1224558228656588E-2</v>
      </c>
    </row>
    <row r="67" spans="1:4" ht="15.6" x14ac:dyDescent="0.3">
      <c r="A67" s="8" t="s">
        <v>399</v>
      </c>
      <c r="B67" s="8">
        <v>472.15</v>
      </c>
      <c r="C67" s="15">
        <f>'Ratio Analysis'!$G$23</f>
        <v>11117.15976331361</v>
      </c>
      <c r="D67" s="28">
        <f t="shared" si="0"/>
        <v>4.2470380029806257E-2</v>
      </c>
    </row>
    <row r="68" spans="1:4" ht="15.6" x14ac:dyDescent="0.3">
      <c r="A68" s="8" t="s">
        <v>400</v>
      </c>
      <c r="B68" s="8">
        <v>476.55</v>
      </c>
      <c r="C68" s="15">
        <f>'Ratio Analysis'!$G$23</f>
        <v>11117.15976331361</v>
      </c>
      <c r="D68" s="28">
        <f t="shared" si="0"/>
        <v>4.2866164573131783E-2</v>
      </c>
    </row>
    <row r="69" spans="1:4" ht="15.6" x14ac:dyDescent="0.3">
      <c r="A69" s="8" t="s">
        <v>401</v>
      </c>
      <c r="B69" s="8">
        <v>475.95</v>
      </c>
      <c r="C69" s="15">
        <f>'Ratio Analysis'!$G$23</f>
        <v>11117.15976331361</v>
      </c>
      <c r="D69" s="28">
        <f t="shared" si="0"/>
        <v>4.2812193953587395E-2</v>
      </c>
    </row>
    <row r="70" spans="1:4" ht="15.6" x14ac:dyDescent="0.3">
      <c r="A70" s="8" t="s">
        <v>402</v>
      </c>
      <c r="B70" s="8">
        <v>483.9</v>
      </c>
      <c r="C70" s="15">
        <f>'Ratio Analysis'!$G$23</f>
        <v>11117.15976331361</v>
      </c>
      <c r="D70" s="28">
        <f t="shared" si="0"/>
        <v>4.3527304662550559E-2</v>
      </c>
    </row>
    <row r="71" spans="1:4" ht="15.6" x14ac:dyDescent="0.3">
      <c r="A71" s="8" t="s">
        <v>403</v>
      </c>
      <c r="B71" s="8">
        <v>487.05</v>
      </c>
      <c r="C71" s="15">
        <f>'Ratio Analysis'!$G$23</f>
        <v>11117.15976331361</v>
      </c>
      <c r="D71" s="28">
        <f t="shared" ref="D71:D134" si="1">B71/C71</f>
        <v>4.3810650415158608E-2</v>
      </c>
    </row>
    <row r="72" spans="1:4" ht="15.6" x14ac:dyDescent="0.3">
      <c r="A72" s="8" t="s">
        <v>404</v>
      </c>
      <c r="B72" s="8">
        <v>495.2</v>
      </c>
      <c r="C72" s="15">
        <f>'Ratio Analysis'!$G$23</f>
        <v>11117.15976331361</v>
      </c>
      <c r="D72" s="28">
        <f t="shared" si="1"/>
        <v>4.4543751330636573E-2</v>
      </c>
    </row>
    <row r="73" spans="1:4" ht="15.6" x14ac:dyDescent="0.3">
      <c r="A73" s="59">
        <v>46002</v>
      </c>
      <c r="B73" s="8">
        <v>481.9</v>
      </c>
      <c r="C73" s="15">
        <f>'Ratio Analysis'!$G$23</f>
        <v>11117.15976331361</v>
      </c>
      <c r="D73" s="28">
        <f t="shared" si="1"/>
        <v>4.3347402597402593E-2</v>
      </c>
    </row>
    <row r="74" spans="1:4" ht="15.6" x14ac:dyDescent="0.3">
      <c r="A74" s="59">
        <v>45972</v>
      </c>
      <c r="B74" s="8">
        <v>487.5</v>
      </c>
      <c r="C74" s="15">
        <f>'Ratio Analysis'!$G$23</f>
        <v>11117.15976331361</v>
      </c>
      <c r="D74" s="28">
        <f t="shared" si="1"/>
        <v>4.3851128379816903E-2</v>
      </c>
    </row>
    <row r="75" spans="1:4" ht="15.6" x14ac:dyDescent="0.3">
      <c r="A75" s="59">
        <v>45941</v>
      </c>
      <c r="B75" s="8">
        <v>484.6</v>
      </c>
      <c r="C75" s="15">
        <f>'Ratio Analysis'!$G$23</f>
        <v>11117.15976331361</v>
      </c>
      <c r="D75" s="28">
        <f t="shared" si="1"/>
        <v>4.3590270385352355E-2</v>
      </c>
    </row>
    <row r="76" spans="1:4" ht="15.6" x14ac:dyDescent="0.3">
      <c r="A76" s="59">
        <v>45849</v>
      </c>
      <c r="B76" s="8">
        <v>474.5</v>
      </c>
      <c r="C76" s="15">
        <f>'Ratio Analysis'!$G$23</f>
        <v>11117.15976331361</v>
      </c>
      <c r="D76" s="28">
        <f t="shared" si="1"/>
        <v>4.2681764956355117E-2</v>
      </c>
    </row>
    <row r="77" spans="1:4" ht="15.6" x14ac:dyDescent="0.3">
      <c r="A77" s="59">
        <v>45819</v>
      </c>
      <c r="B77" s="8">
        <v>467.2</v>
      </c>
      <c r="C77" s="15">
        <f>'Ratio Analysis'!$G$23</f>
        <v>11117.15976331361</v>
      </c>
      <c r="D77" s="28">
        <f t="shared" si="1"/>
        <v>4.2025122418565042E-2</v>
      </c>
    </row>
    <row r="78" spans="1:4" ht="15.6" x14ac:dyDescent="0.3">
      <c r="A78" s="59">
        <v>45758</v>
      </c>
      <c r="B78" s="8">
        <v>473.35</v>
      </c>
      <c r="C78" s="15">
        <f>'Ratio Analysis'!$G$23</f>
        <v>11117.15976331361</v>
      </c>
      <c r="D78" s="28">
        <f t="shared" si="1"/>
        <v>4.257832126889504E-2</v>
      </c>
    </row>
    <row r="79" spans="1:4" ht="15.6" x14ac:dyDescent="0.3">
      <c r="A79" s="59">
        <v>45727</v>
      </c>
      <c r="B79" s="8">
        <v>480.65</v>
      </c>
      <c r="C79" s="15">
        <f>'Ratio Analysis'!$G$23</f>
        <v>11117.15976331361</v>
      </c>
      <c r="D79" s="28">
        <f t="shared" si="1"/>
        <v>4.3234963806685116E-2</v>
      </c>
    </row>
    <row r="80" spans="1:4" ht="15.6" x14ac:dyDescent="0.3">
      <c r="A80" s="8" t="s">
        <v>405</v>
      </c>
      <c r="B80" s="8">
        <v>476.5</v>
      </c>
      <c r="C80" s="15">
        <f>'Ratio Analysis'!$G$23</f>
        <v>11117.15976331361</v>
      </c>
      <c r="D80" s="28">
        <f t="shared" si="1"/>
        <v>4.2861667021503083E-2</v>
      </c>
    </row>
    <row r="81" spans="1:4" ht="15.6" x14ac:dyDescent="0.3">
      <c r="A81" s="8" t="s">
        <v>406</v>
      </c>
      <c r="B81" s="8">
        <v>477.6</v>
      </c>
      <c r="C81" s="15">
        <f>'Ratio Analysis'!$G$23</f>
        <v>11117.15976331361</v>
      </c>
      <c r="D81" s="28">
        <f t="shared" si="1"/>
        <v>4.2960613157334467E-2</v>
      </c>
    </row>
    <row r="82" spans="1:4" ht="15.6" x14ac:dyDescent="0.3">
      <c r="A82" s="8" t="s">
        <v>407</v>
      </c>
      <c r="B82" s="8">
        <v>483.6</v>
      </c>
      <c r="C82" s="15">
        <f>'Ratio Analysis'!$G$23</f>
        <v>11117.15976331361</v>
      </c>
      <c r="D82" s="28">
        <f t="shared" si="1"/>
        <v>4.3500319352778372E-2</v>
      </c>
    </row>
    <row r="83" spans="1:4" ht="15.6" x14ac:dyDescent="0.3">
      <c r="A83" s="8" t="s">
        <v>408</v>
      </c>
      <c r="B83" s="8">
        <v>471.2</v>
      </c>
      <c r="C83" s="15">
        <f>'Ratio Analysis'!$G$23</f>
        <v>11117.15976331361</v>
      </c>
      <c r="D83" s="28">
        <f t="shared" si="1"/>
        <v>4.2384926548860974E-2</v>
      </c>
    </row>
    <row r="84" spans="1:4" ht="15.6" x14ac:dyDescent="0.3">
      <c r="A84" s="8" t="s">
        <v>409</v>
      </c>
      <c r="B84" s="8">
        <v>482.3</v>
      </c>
      <c r="C84" s="15">
        <f>'Ratio Analysis'!$G$23</f>
        <v>11117.15976331361</v>
      </c>
      <c r="D84" s="28">
        <f t="shared" si="1"/>
        <v>4.3383383010432187E-2</v>
      </c>
    </row>
    <row r="85" spans="1:4" ht="15.6" x14ac:dyDescent="0.3">
      <c r="A85" s="8" t="s">
        <v>410</v>
      </c>
      <c r="B85" s="8">
        <v>486.7</v>
      </c>
      <c r="C85" s="15">
        <f>'Ratio Analysis'!$G$23</f>
        <v>11117.15976331361</v>
      </c>
      <c r="D85" s="28">
        <f t="shared" si="1"/>
        <v>4.3779167553757714E-2</v>
      </c>
    </row>
    <row r="86" spans="1:4" ht="15.6" x14ac:dyDescent="0.3">
      <c r="A86" s="8" t="s">
        <v>411</v>
      </c>
      <c r="B86" s="8">
        <v>482.15</v>
      </c>
      <c r="C86" s="15">
        <f>'Ratio Analysis'!$G$23</f>
        <v>11117.15976331361</v>
      </c>
      <c r="D86" s="28">
        <f t="shared" si="1"/>
        <v>4.3369890355546087E-2</v>
      </c>
    </row>
    <row r="87" spans="1:4" ht="15.6" x14ac:dyDescent="0.3">
      <c r="A87" s="8" t="s">
        <v>412</v>
      </c>
      <c r="B87" s="8">
        <v>483.85</v>
      </c>
      <c r="C87" s="15">
        <f>'Ratio Analysis'!$G$23</f>
        <v>11117.15976331361</v>
      </c>
      <c r="D87" s="28">
        <f t="shared" si="1"/>
        <v>4.3522807110921866E-2</v>
      </c>
    </row>
    <row r="88" spans="1:4" ht="15.6" x14ac:dyDescent="0.3">
      <c r="A88" s="8" t="s">
        <v>413</v>
      </c>
      <c r="B88" s="8">
        <v>486.4</v>
      </c>
      <c r="C88" s="15">
        <f>'Ratio Analysis'!$G$23</f>
        <v>11117.15976331361</v>
      </c>
      <c r="D88" s="28">
        <f t="shared" si="1"/>
        <v>4.375218224398552E-2</v>
      </c>
    </row>
    <row r="89" spans="1:4" ht="15.6" x14ac:dyDescent="0.3">
      <c r="A89" s="8" t="s">
        <v>414</v>
      </c>
      <c r="B89" s="8">
        <v>500.25</v>
      </c>
      <c r="C89" s="15">
        <f>'Ratio Analysis'!$G$23</f>
        <v>11117.15976331361</v>
      </c>
      <c r="D89" s="28">
        <f t="shared" si="1"/>
        <v>4.4998004045135188E-2</v>
      </c>
    </row>
    <row r="90" spans="1:4" ht="15.6" x14ac:dyDescent="0.3">
      <c r="A90" s="8" t="s">
        <v>415</v>
      </c>
      <c r="B90" s="8">
        <v>506.7</v>
      </c>
      <c r="C90" s="15">
        <f>'Ratio Analysis'!$G$23</f>
        <v>11117.15976331361</v>
      </c>
      <c r="D90" s="28">
        <f t="shared" si="1"/>
        <v>4.5578188205237381E-2</v>
      </c>
    </row>
    <row r="91" spans="1:4" ht="15.6" x14ac:dyDescent="0.3">
      <c r="A91" s="8" t="s">
        <v>416</v>
      </c>
      <c r="B91" s="8">
        <v>513.20000000000005</v>
      </c>
      <c r="C91" s="15">
        <f>'Ratio Analysis'!$G$23</f>
        <v>11117.15976331361</v>
      </c>
      <c r="D91" s="28">
        <f t="shared" si="1"/>
        <v>4.6162869916968281E-2</v>
      </c>
    </row>
    <row r="92" spans="1:4" ht="15.6" x14ac:dyDescent="0.3">
      <c r="A92" s="8" t="s">
        <v>417</v>
      </c>
      <c r="B92" s="8">
        <v>505.65</v>
      </c>
      <c r="C92" s="15">
        <f>'Ratio Analysis'!$G$23</f>
        <v>11117.15976331361</v>
      </c>
      <c r="D92" s="28">
        <f t="shared" si="1"/>
        <v>4.5483739621034698E-2</v>
      </c>
    </row>
    <row r="93" spans="1:4" ht="15.6" x14ac:dyDescent="0.3">
      <c r="A93" s="8" t="s">
        <v>418</v>
      </c>
      <c r="B93" s="8">
        <v>505.55</v>
      </c>
      <c r="C93" s="15">
        <f>'Ratio Analysis'!$G$23</f>
        <v>11117.15976331361</v>
      </c>
      <c r="D93" s="28">
        <f t="shared" si="1"/>
        <v>4.5474744517777305E-2</v>
      </c>
    </row>
    <row r="94" spans="1:4" ht="15.6" x14ac:dyDescent="0.3">
      <c r="A94" s="59">
        <v>45940</v>
      </c>
      <c r="B94" s="8">
        <v>498.3</v>
      </c>
      <c r="C94" s="15">
        <f>'Ratio Analysis'!$G$23</f>
        <v>11117.15976331361</v>
      </c>
      <c r="D94" s="28">
        <f t="shared" si="1"/>
        <v>4.4822599531615923E-2</v>
      </c>
    </row>
    <row r="95" spans="1:4" ht="15.6" x14ac:dyDescent="0.3">
      <c r="A95" s="59">
        <v>45910</v>
      </c>
      <c r="B95" s="8">
        <v>512.25</v>
      </c>
      <c r="C95" s="15">
        <f>'Ratio Analysis'!$G$23</f>
        <v>11117.15976331361</v>
      </c>
      <c r="D95" s="28">
        <f t="shared" si="1"/>
        <v>4.6077416436022992E-2</v>
      </c>
    </row>
    <row r="96" spans="1:4" ht="15.6" x14ac:dyDescent="0.3">
      <c r="A96" s="59">
        <v>45879</v>
      </c>
      <c r="B96" s="8">
        <v>490.5</v>
      </c>
      <c r="C96" s="15">
        <f>'Ratio Analysis'!$G$23</f>
        <v>11117.15976331361</v>
      </c>
      <c r="D96" s="28">
        <f t="shared" si="1"/>
        <v>4.4120981477538852E-2</v>
      </c>
    </row>
    <row r="97" spans="1:4" ht="15.6" x14ac:dyDescent="0.3">
      <c r="A97" s="59">
        <v>45848</v>
      </c>
      <c r="B97" s="8">
        <v>489.9</v>
      </c>
      <c r="C97" s="15">
        <f>'Ratio Analysis'!$G$23</f>
        <v>11117.15976331361</v>
      </c>
      <c r="D97" s="28">
        <f t="shared" si="1"/>
        <v>4.4067010857994464E-2</v>
      </c>
    </row>
    <row r="98" spans="1:4" ht="15.6" x14ac:dyDescent="0.3">
      <c r="A98" s="59">
        <v>45818</v>
      </c>
      <c r="B98" s="8">
        <v>491.5</v>
      </c>
      <c r="C98" s="15">
        <f>'Ratio Analysis'!$G$23</f>
        <v>11117.15976331361</v>
      </c>
      <c r="D98" s="28">
        <f t="shared" si="1"/>
        <v>4.4210932510112835E-2</v>
      </c>
    </row>
    <row r="99" spans="1:4" ht="15.6" x14ac:dyDescent="0.3">
      <c r="A99" s="59">
        <v>45726</v>
      </c>
      <c r="B99" s="8">
        <v>491.5</v>
      </c>
      <c r="C99" s="15">
        <f>'Ratio Analysis'!$G$23</f>
        <v>11117.15976331361</v>
      </c>
      <c r="D99" s="28">
        <f t="shared" si="1"/>
        <v>4.4210932510112835E-2</v>
      </c>
    </row>
    <row r="100" spans="1:4" ht="15.6" x14ac:dyDescent="0.3">
      <c r="A100" s="59">
        <v>45667</v>
      </c>
      <c r="B100" s="8">
        <v>481.35</v>
      </c>
      <c r="C100" s="15">
        <f>'Ratio Analysis'!$G$23</f>
        <v>11117.15976331361</v>
      </c>
      <c r="D100" s="28">
        <f t="shared" si="1"/>
        <v>4.3297929529486905E-2</v>
      </c>
    </row>
    <row r="101" spans="1:4" ht="15.6" x14ac:dyDescent="0.3">
      <c r="A101" s="8" t="s">
        <v>419</v>
      </c>
      <c r="B101" s="8">
        <v>482.45</v>
      </c>
      <c r="C101" s="15">
        <f>'Ratio Analysis'!$G$23</f>
        <v>11117.15976331361</v>
      </c>
      <c r="D101" s="28">
        <f t="shared" si="1"/>
        <v>4.3396875665318288E-2</v>
      </c>
    </row>
    <row r="102" spans="1:4" ht="15.6" x14ac:dyDescent="0.3">
      <c r="A102" s="8" t="s">
        <v>420</v>
      </c>
      <c r="B102" s="8">
        <v>466.15</v>
      </c>
      <c r="C102" s="15">
        <f>'Ratio Analysis'!$G$23</f>
        <v>11117.15976331361</v>
      </c>
      <c r="D102" s="28">
        <f t="shared" si="1"/>
        <v>4.1930673834362359E-2</v>
      </c>
    </row>
    <row r="103" spans="1:4" ht="15.6" x14ac:dyDescent="0.3">
      <c r="A103" s="8" t="s">
        <v>421</v>
      </c>
      <c r="B103" s="8">
        <v>449.1</v>
      </c>
      <c r="C103" s="15">
        <f>'Ratio Analysis'!$G$23</f>
        <v>11117.15976331361</v>
      </c>
      <c r="D103" s="28">
        <f t="shared" si="1"/>
        <v>4.039700872897594E-2</v>
      </c>
    </row>
    <row r="104" spans="1:4" ht="15.6" x14ac:dyDescent="0.3">
      <c r="A104" s="8" t="s">
        <v>422</v>
      </c>
      <c r="B104" s="8">
        <v>466.75</v>
      </c>
      <c r="C104" s="15">
        <f>'Ratio Analysis'!$G$23</f>
        <v>11117.15976331361</v>
      </c>
      <c r="D104" s="28">
        <f t="shared" si="1"/>
        <v>4.1984644453906747E-2</v>
      </c>
    </row>
    <row r="105" spans="1:4" ht="15.6" x14ac:dyDescent="0.3">
      <c r="A105" s="8" t="s">
        <v>423</v>
      </c>
      <c r="B105" s="8">
        <v>452.9</v>
      </c>
      <c r="C105" s="15">
        <f>'Ratio Analysis'!$G$23</f>
        <v>11117.15976331361</v>
      </c>
      <c r="D105" s="28">
        <f t="shared" si="1"/>
        <v>4.0738822652757078E-2</v>
      </c>
    </row>
    <row r="106" spans="1:4" ht="15.6" x14ac:dyDescent="0.3">
      <c r="A106" s="8" t="s">
        <v>424</v>
      </c>
      <c r="B106" s="8">
        <v>461.5</v>
      </c>
      <c r="C106" s="15">
        <f>'Ratio Analysis'!$G$23</f>
        <v>11117.15976331361</v>
      </c>
      <c r="D106" s="28">
        <f t="shared" si="1"/>
        <v>4.1512401532893338E-2</v>
      </c>
    </row>
    <row r="107" spans="1:4" ht="15.6" x14ac:dyDescent="0.3">
      <c r="A107" s="8" t="s">
        <v>425</v>
      </c>
      <c r="B107" s="8">
        <v>459.25</v>
      </c>
      <c r="C107" s="15">
        <f>'Ratio Analysis'!$G$23</f>
        <v>11117.15976331361</v>
      </c>
      <c r="D107" s="28">
        <f t="shared" si="1"/>
        <v>4.1310011709601871E-2</v>
      </c>
    </row>
    <row r="108" spans="1:4" ht="15.6" x14ac:dyDescent="0.3">
      <c r="A108" s="8" t="s">
        <v>426</v>
      </c>
      <c r="B108" s="8">
        <v>453.05</v>
      </c>
      <c r="C108" s="15">
        <f>'Ratio Analysis'!$G$23</f>
        <v>11117.15976331361</v>
      </c>
      <c r="D108" s="28">
        <f t="shared" si="1"/>
        <v>4.0752315307643179E-2</v>
      </c>
    </row>
    <row r="109" spans="1:4" ht="15.6" x14ac:dyDescent="0.3">
      <c r="A109" s="8" t="s">
        <v>427</v>
      </c>
      <c r="B109" s="8">
        <v>454.85</v>
      </c>
      <c r="C109" s="15">
        <f>'Ratio Analysis'!$G$23</f>
        <v>11117.15976331361</v>
      </c>
      <c r="D109" s="28">
        <f t="shared" si="1"/>
        <v>4.0914227166276344E-2</v>
      </c>
    </row>
    <row r="110" spans="1:4" ht="15.6" x14ac:dyDescent="0.3">
      <c r="A110" s="8" t="s">
        <v>428</v>
      </c>
      <c r="B110" s="8">
        <v>459.45</v>
      </c>
      <c r="C110" s="15">
        <f>'Ratio Analysis'!$G$23</f>
        <v>11117.15976331361</v>
      </c>
      <c r="D110" s="28">
        <f t="shared" si="1"/>
        <v>4.1328001916116665E-2</v>
      </c>
    </row>
    <row r="111" spans="1:4" ht="15.6" x14ac:dyDescent="0.3">
      <c r="A111" s="8" t="s">
        <v>429</v>
      </c>
      <c r="B111" s="8">
        <v>462.25</v>
      </c>
      <c r="C111" s="15">
        <f>'Ratio Analysis'!$G$23</f>
        <v>11117.15976331361</v>
      </c>
      <c r="D111" s="28">
        <f t="shared" si="1"/>
        <v>4.157986480732382E-2</v>
      </c>
    </row>
    <row r="112" spans="1:4" ht="15.6" x14ac:dyDescent="0.3">
      <c r="A112" s="8" t="s">
        <v>430</v>
      </c>
      <c r="B112" s="8">
        <v>460.15</v>
      </c>
      <c r="C112" s="15">
        <f>'Ratio Analysis'!$G$23</f>
        <v>11117.15976331361</v>
      </c>
      <c r="D112" s="28">
        <f t="shared" si="1"/>
        <v>4.1390967638918454E-2</v>
      </c>
    </row>
    <row r="113" spans="1:4" ht="15.6" x14ac:dyDescent="0.3">
      <c r="A113" s="59">
        <v>46000</v>
      </c>
      <c r="B113" s="8">
        <v>462.95</v>
      </c>
      <c r="C113" s="15">
        <f>'Ratio Analysis'!$G$23</f>
        <v>11117.15976331361</v>
      </c>
      <c r="D113" s="28">
        <f t="shared" si="1"/>
        <v>4.1642830530125609E-2</v>
      </c>
    </row>
    <row r="114" spans="1:4" ht="15.6" x14ac:dyDescent="0.3">
      <c r="A114" s="59">
        <v>45970</v>
      </c>
      <c r="B114" s="8">
        <v>446.25</v>
      </c>
      <c r="C114" s="15">
        <f>'Ratio Analysis'!$G$23</f>
        <v>11117.15976331361</v>
      </c>
      <c r="D114" s="28">
        <f t="shared" si="1"/>
        <v>4.0140648286140085E-2</v>
      </c>
    </row>
    <row r="115" spans="1:4" ht="15.6" x14ac:dyDescent="0.3">
      <c r="A115" s="59">
        <v>45939</v>
      </c>
      <c r="B115" s="8">
        <v>432.85</v>
      </c>
      <c r="C115" s="15">
        <f>'Ratio Analysis'!$G$23</f>
        <v>11117.15976331361</v>
      </c>
      <c r="D115" s="28">
        <f t="shared" si="1"/>
        <v>3.8935304449648711E-2</v>
      </c>
    </row>
    <row r="116" spans="1:4" ht="15.6" x14ac:dyDescent="0.3">
      <c r="A116" s="59">
        <v>45909</v>
      </c>
      <c r="B116" s="8">
        <v>433.45</v>
      </c>
      <c r="C116" s="15">
        <f>'Ratio Analysis'!$G$23</f>
        <v>11117.15976331361</v>
      </c>
      <c r="D116" s="28">
        <f t="shared" si="1"/>
        <v>3.8989275069193099E-2</v>
      </c>
    </row>
    <row r="117" spans="1:4" ht="15.6" x14ac:dyDescent="0.3">
      <c r="A117" s="59">
        <v>45878</v>
      </c>
      <c r="B117" s="8">
        <v>435.6</v>
      </c>
      <c r="C117" s="15">
        <f>'Ratio Analysis'!$G$23</f>
        <v>11117.15976331361</v>
      </c>
      <c r="D117" s="28">
        <f t="shared" si="1"/>
        <v>3.9182669789227166E-2</v>
      </c>
    </row>
    <row r="118" spans="1:4" ht="15.6" x14ac:dyDescent="0.3">
      <c r="A118" s="59">
        <v>45786</v>
      </c>
      <c r="B118" s="8">
        <v>440.1</v>
      </c>
      <c r="C118" s="15">
        <f>'Ratio Analysis'!$G$23</f>
        <v>11117.15976331361</v>
      </c>
      <c r="D118" s="28">
        <f t="shared" si="1"/>
        <v>3.9587449435810093E-2</v>
      </c>
    </row>
    <row r="119" spans="1:4" ht="15.6" x14ac:dyDescent="0.3">
      <c r="A119" s="59">
        <v>45756</v>
      </c>
      <c r="B119" s="8">
        <v>437.55</v>
      </c>
      <c r="C119" s="15">
        <f>'Ratio Analysis'!$G$23</f>
        <v>11117.15976331361</v>
      </c>
      <c r="D119" s="28">
        <f t="shared" si="1"/>
        <v>3.9358074302746432E-2</v>
      </c>
    </row>
    <row r="120" spans="1:4" ht="15.6" x14ac:dyDescent="0.3">
      <c r="A120" s="59">
        <v>45725</v>
      </c>
      <c r="B120" s="8">
        <v>444.6</v>
      </c>
      <c r="C120" s="15">
        <f>'Ratio Analysis'!$G$23</f>
        <v>11117.15976331361</v>
      </c>
      <c r="D120" s="28">
        <f t="shared" si="1"/>
        <v>3.999222908239302E-2</v>
      </c>
    </row>
    <row r="121" spans="1:4" ht="15.6" x14ac:dyDescent="0.3">
      <c r="A121" s="59">
        <v>45697</v>
      </c>
      <c r="B121" s="8">
        <v>440.9</v>
      </c>
      <c r="C121" s="15">
        <f>'Ratio Analysis'!$G$23</f>
        <v>11117.15976331361</v>
      </c>
      <c r="D121" s="28">
        <f t="shared" si="1"/>
        <v>3.9659410261869275E-2</v>
      </c>
    </row>
    <row r="122" spans="1:4" ht="15.6" x14ac:dyDescent="0.3">
      <c r="A122" s="59">
        <v>45666</v>
      </c>
      <c r="B122" s="8">
        <v>435.9</v>
      </c>
      <c r="C122" s="15">
        <f>'Ratio Analysis'!$G$23</f>
        <v>11117.15976331361</v>
      </c>
      <c r="D122" s="28">
        <f t="shared" si="1"/>
        <v>3.920965509899936E-2</v>
      </c>
    </row>
    <row r="123" spans="1:4" ht="15.6" x14ac:dyDescent="0.3">
      <c r="A123" s="8" t="s">
        <v>431</v>
      </c>
      <c r="B123" s="8">
        <v>419.25</v>
      </c>
      <c r="C123" s="15">
        <f>'Ratio Analysis'!$G$23</f>
        <v>11117.15976331361</v>
      </c>
      <c r="D123" s="28">
        <f t="shared" si="1"/>
        <v>3.7711970406642537E-2</v>
      </c>
    </row>
    <row r="124" spans="1:4" ht="15.6" x14ac:dyDescent="0.3">
      <c r="A124" s="8" t="s">
        <v>432</v>
      </c>
      <c r="B124" s="8">
        <v>421.7</v>
      </c>
      <c r="C124" s="15">
        <f>'Ratio Analysis'!$G$23</f>
        <v>11117.15976331361</v>
      </c>
      <c r="D124" s="28">
        <f t="shared" si="1"/>
        <v>3.7932350436448797E-2</v>
      </c>
    </row>
    <row r="125" spans="1:4" ht="15.6" x14ac:dyDescent="0.3">
      <c r="A125" s="8" t="s">
        <v>433</v>
      </c>
      <c r="B125" s="8">
        <v>430.15</v>
      </c>
      <c r="C125" s="15">
        <f>'Ratio Analysis'!$G$23</f>
        <v>11117.15976331361</v>
      </c>
      <c r="D125" s="28">
        <f t="shared" si="1"/>
        <v>3.8692436661698956E-2</v>
      </c>
    </row>
    <row r="126" spans="1:4" ht="15.6" x14ac:dyDescent="0.3">
      <c r="A126" s="8" t="s">
        <v>434</v>
      </c>
      <c r="B126" s="8">
        <v>434.7</v>
      </c>
      <c r="C126" s="15">
        <f>'Ratio Analysis'!$G$23</f>
        <v>11117.15976331361</v>
      </c>
      <c r="D126" s="28">
        <f t="shared" si="1"/>
        <v>3.9101713859910577E-2</v>
      </c>
    </row>
    <row r="127" spans="1:4" ht="15.6" x14ac:dyDescent="0.3">
      <c r="A127" s="8" t="s">
        <v>435</v>
      </c>
      <c r="B127" s="8">
        <v>424.9</v>
      </c>
      <c r="C127" s="15">
        <f>'Ratio Analysis'!$G$23</f>
        <v>11117.15976331361</v>
      </c>
      <c r="D127" s="28">
        <f t="shared" si="1"/>
        <v>3.822019374068554E-2</v>
      </c>
    </row>
    <row r="128" spans="1:4" ht="15.6" x14ac:dyDescent="0.3">
      <c r="A128" s="8" t="s">
        <v>436</v>
      </c>
      <c r="B128" s="8">
        <v>430.85</v>
      </c>
      <c r="C128" s="15">
        <f>'Ratio Analysis'!$G$23</f>
        <v>11117.15976331361</v>
      </c>
      <c r="D128" s="28">
        <f t="shared" si="1"/>
        <v>3.8755402384500745E-2</v>
      </c>
    </row>
    <row r="129" spans="1:4" ht="15.6" x14ac:dyDescent="0.3">
      <c r="A129" s="8" t="s">
        <v>437</v>
      </c>
      <c r="B129" s="8">
        <v>430</v>
      </c>
      <c r="C129" s="15">
        <f>'Ratio Analysis'!$G$23</f>
        <v>11117.15976331361</v>
      </c>
      <c r="D129" s="28">
        <f t="shared" si="1"/>
        <v>3.8678944006812856E-2</v>
      </c>
    </row>
    <row r="130" spans="1:4" ht="15.6" x14ac:dyDescent="0.3">
      <c r="A130" s="8" t="s">
        <v>438</v>
      </c>
      <c r="B130" s="8">
        <v>428.65</v>
      </c>
      <c r="C130" s="15">
        <f>'Ratio Analysis'!$G$23</f>
        <v>11117.15976331361</v>
      </c>
      <c r="D130" s="28">
        <f t="shared" si="1"/>
        <v>3.8557510112837978E-2</v>
      </c>
    </row>
    <row r="131" spans="1:4" ht="15.6" x14ac:dyDescent="0.3">
      <c r="A131" s="8" t="s">
        <v>439</v>
      </c>
      <c r="B131" s="8">
        <v>427.1</v>
      </c>
      <c r="C131" s="15">
        <f>'Ratio Analysis'!$G$23</f>
        <v>11117.15976331361</v>
      </c>
      <c r="D131" s="28">
        <f t="shared" si="1"/>
        <v>3.8418086012348307E-2</v>
      </c>
    </row>
    <row r="132" spans="1:4" ht="15.6" x14ac:dyDescent="0.3">
      <c r="A132" s="8" t="s">
        <v>440</v>
      </c>
      <c r="B132" s="8">
        <v>426.65</v>
      </c>
      <c r="C132" s="15">
        <f>'Ratio Analysis'!$G$23</f>
        <v>11117.15976331361</v>
      </c>
      <c r="D132" s="28">
        <f t="shared" si="1"/>
        <v>3.8377608047690012E-2</v>
      </c>
    </row>
    <row r="133" spans="1:4" ht="15.6" x14ac:dyDescent="0.3">
      <c r="A133" s="8" t="s">
        <v>441</v>
      </c>
      <c r="B133" s="8">
        <v>430.2</v>
      </c>
      <c r="C133" s="15">
        <f>'Ratio Analysis'!$G$23</f>
        <v>11117.15976331361</v>
      </c>
      <c r="D133" s="28">
        <f t="shared" si="1"/>
        <v>3.8696934213327656E-2</v>
      </c>
    </row>
    <row r="134" spans="1:4" ht="15.6" x14ac:dyDescent="0.3">
      <c r="A134" s="59">
        <v>45999</v>
      </c>
      <c r="B134" s="8">
        <v>423.45</v>
      </c>
      <c r="C134" s="15">
        <f>'Ratio Analysis'!$G$23</f>
        <v>11117.15976331361</v>
      </c>
      <c r="D134" s="28">
        <f t="shared" si="1"/>
        <v>3.8089764743453269E-2</v>
      </c>
    </row>
    <row r="135" spans="1:4" ht="15.6" x14ac:dyDescent="0.3">
      <c r="A135" s="59">
        <v>45969</v>
      </c>
      <c r="B135" s="8">
        <v>417.4</v>
      </c>
      <c r="C135" s="15">
        <f>'Ratio Analysis'!$G$23</f>
        <v>11117.15976331361</v>
      </c>
      <c r="D135" s="28">
        <f t="shared" ref="D135:D198" si="2">B135/C135</f>
        <v>3.7545560996380664E-2</v>
      </c>
    </row>
    <row r="136" spans="1:4" ht="15.6" x14ac:dyDescent="0.3">
      <c r="A136" s="59">
        <v>45877</v>
      </c>
      <c r="B136" s="8">
        <v>420.7</v>
      </c>
      <c r="C136" s="15">
        <f>'Ratio Analysis'!$G$23</f>
        <v>11117.15976331361</v>
      </c>
      <c r="D136" s="28">
        <f t="shared" si="2"/>
        <v>3.7842399403874814E-2</v>
      </c>
    </row>
    <row r="137" spans="1:4" ht="15.6" x14ac:dyDescent="0.3">
      <c r="A137" s="59">
        <v>45846</v>
      </c>
      <c r="B137" s="8">
        <v>424.65</v>
      </c>
      <c r="C137" s="15">
        <f>'Ratio Analysis'!$G$23</f>
        <v>11117.15976331361</v>
      </c>
      <c r="D137" s="28">
        <f t="shared" si="2"/>
        <v>3.8197705982542046E-2</v>
      </c>
    </row>
    <row r="138" spans="1:4" ht="15.6" x14ac:dyDescent="0.3">
      <c r="A138" s="59">
        <v>45816</v>
      </c>
      <c r="B138" s="8">
        <v>419.95</v>
      </c>
      <c r="C138" s="15">
        <f>'Ratio Analysis'!$G$23</f>
        <v>11117.15976331361</v>
      </c>
      <c r="D138" s="28">
        <f t="shared" si="2"/>
        <v>3.7774936129444325E-2</v>
      </c>
    </row>
    <row r="139" spans="1:4" ht="15.6" x14ac:dyDescent="0.3">
      <c r="A139" s="59">
        <v>45785</v>
      </c>
      <c r="B139" s="8">
        <v>421.2</v>
      </c>
      <c r="C139" s="15">
        <f>'Ratio Analysis'!$G$23</f>
        <v>11117.15976331361</v>
      </c>
      <c r="D139" s="28">
        <f t="shared" si="2"/>
        <v>3.7887374920161802E-2</v>
      </c>
    </row>
    <row r="140" spans="1:4" ht="15.6" x14ac:dyDescent="0.3">
      <c r="A140" s="59">
        <v>45755</v>
      </c>
      <c r="B140" s="8">
        <v>421.6</v>
      </c>
      <c r="C140" s="15">
        <f>'Ratio Analysis'!$G$23</f>
        <v>11117.15976331361</v>
      </c>
      <c r="D140" s="28">
        <f t="shared" si="2"/>
        <v>3.7923355333191397E-2</v>
      </c>
    </row>
    <row r="141" spans="1:4" ht="15.6" x14ac:dyDescent="0.3">
      <c r="A141" s="59">
        <v>45665</v>
      </c>
      <c r="B141" s="8">
        <v>415.4</v>
      </c>
      <c r="C141" s="15">
        <f>'Ratio Analysis'!$G$23</f>
        <v>11117.15976331361</v>
      </c>
      <c r="D141" s="28">
        <f t="shared" si="2"/>
        <v>3.7365658931232698E-2</v>
      </c>
    </row>
    <row r="142" spans="1:4" ht="15.6" x14ac:dyDescent="0.3">
      <c r="A142" s="8" t="s">
        <v>442</v>
      </c>
      <c r="B142" s="8">
        <v>424.05</v>
      </c>
      <c r="C142" s="15">
        <f>'Ratio Analysis'!$G$23</f>
        <v>11117.15976331361</v>
      </c>
      <c r="D142" s="28">
        <f t="shared" si="2"/>
        <v>3.8143735362997658E-2</v>
      </c>
    </row>
    <row r="143" spans="1:4" ht="15.6" x14ac:dyDescent="0.3">
      <c r="A143" s="8" t="s">
        <v>443</v>
      </c>
      <c r="B143" s="8">
        <v>432.45</v>
      </c>
      <c r="C143" s="15">
        <f>'Ratio Analysis'!$G$23</f>
        <v>11117.15976331361</v>
      </c>
      <c r="D143" s="28">
        <f t="shared" si="2"/>
        <v>3.8899324036619116E-2</v>
      </c>
    </row>
    <row r="144" spans="1:4" ht="15.6" x14ac:dyDescent="0.3">
      <c r="A144" s="8" t="s">
        <v>444</v>
      </c>
      <c r="B144" s="8">
        <v>437.4</v>
      </c>
      <c r="C144" s="15">
        <f>'Ratio Analysis'!$G$23</f>
        <v>11117.15976331361</v>
      </c>
      <c r="D144" s="28">
        <f t="shared" si="2"/>
        <v>3.9344581647860331E-2</v>
      </c>
    </row>
    <row r="145" spans="1:4" ht="15.6" x14ac:dyDescent="0.3">
      <c r="A145" s="8" t="s">
        <v>445</v>
      </c>
      <c r="B145" s="8">
        <v>432.05</v>
      </c>
      <c r="C145" s="15">
        <f>'Ratio Analysis'!$G$23</f>
        <v>11117.15976331361</v>
      </c>
      <c r="D145" s="28">
        <f t="shared" si="2"/>
        <v>3.8863343623589522E-2</v>
      </c>
    </row>
    <row r="146" spans="1:4" ht="15.6" x14ac:dyDescent="0.3">
      <c r="A146" s="8" t="s">
        <v>446</v>
      </c>
      <c r="B146" s="8">
        <v>439.2</v>
      </c>
      <c r="C146" s="15">
        <f>'Ratio Analysis'!$G$23</f>
        <v>11117.15976331361</v>
      </c>
      <c r="D146" s="28">
        <f t="shared" si="2"/>
        <v>3.9506493506493504E-2</v>
      </c>
    </row>
    <row r="147" spans="1:4" ht="15.6" x14ac:dyDescent="0.3">
      <c r="A147" s="8" t="s">
        <v>447</v>
      </c>
      <c r="B147" s="8">
        <v>446.1</v>
      </c>
      <c r="C147" s="15">
        <f>'Ratio Analysis'!$G$23</f>
        <v>11117.15976331361</v>
      </c>
      <c r="D147" s="28">
        <f t="shared" si="2"/>
        <v>4.0127155631253991E-2</v>
      </c>
    </row>
    <row r="148" spans="1:4" ht="15.6" x14ac:dyDescent="0.3">
      <c r="A148" s="8" t="s">
        <v>448</v>
      </c>
      <c r="B148" s="8">
        <v>446.85</v>
      </c>
      <c r="C148" s="15">
        <f>'Ratio Analysis'!$G$23</f>
        <v>11117.15976331361</v>
      </c>
      <c r="D148" s="28">
        <f t="shared" si="2"/>
        <v>4.019461890568448E-2</v>
      </c>
    </row>
    <row r="149" spans="1:4" ht="15.6" x14ac:dyDescent="0.3">
      <c r="A149" s="8" t="s">
        <v>449</v>
      </c>
      <c r="B149" s="8">
        <v>443.2</v>
      </c>
      <c r="C149" s="15">
        <f>'Ratio Analysis'!$G$23</f>
        <v>11117.15976331361</v>
      </c>
      <c r="D149" s="28">
        <f t="shared" si="2"/>
        <v>3.9866297636789436E-2</v>
      </c>
    </row>
    <row r="150" spans="1:4" ht="15.6" x14ac:dyDescent="0.3">
      <c r="A150" s="8" t="s">
        <v>450</v>
      </c>
      <c r="B150" s="8">
        <v>444.65</v>
      </c>
      <c r="C150" s="15">
        <f>'Ratio Analysis'!$G$23</f>
        <v>11117.15976331361</v>
      </c>
      <c r="D150" s="28">
        <f t="shared" si="2"/>
        <v>3.9996726634021713E-2</v>
      </c>
    </row>
    <row r="151" spans="1:4" ht="15.6" x14ac:dyDescent="0.3">
      <c r="A151" s="8" t="s">
        <v>451</v>
      </c>
      <c r="B151" s="8">
        <v>435.5</v>
      </c>
      <c r="C151" s="15">
        <f>'Ratio Analysis'!$G$23</f>
        <v>11117.15976331361</v>
      </c>
      <c r="D151" s="28">
        <f t="shared" si="2"/>
        <v>3.9173674685969766E-2</v>
      </c>
    </row>
    <row r="152" spans="1:4" ht="15.6" x14ac:dyDescent="0.3">
      <c r="A152" s="8" t="s">
        <v>452</v>
      </c>
      <c r="B152" s="8">
        <v>437.1</v>
      </c>
      <c r="C152" s="15">
        <f>'Ratio Analysis'!$G$23</f>
        <v>11117.15976331361</v>
      </c>
      <c r="D152" s="28">
        <f t="shared" si="2"/>
        <v>3.9317596338088144E-2</v>
      </c>
    </row>
    <row r="153" spans="1:4" ht="15.6" x14ac:dyDescent="0.3">
      <c r="A153" s="8" t="s">
        <v>453</v>
      </c>
      <c r="B153" s="8">
        <v>435.2</v>
      </c>
      <c r="C153" s="15">
        <f>'Ratio Analysis'!$G$23</f>
        <v>11117.15976331361</v>
      </c>
      <c r="D153" s="28">
        <f t="shared" si="2"/>
        <v>3.9146689376197571E-2</v>
      </c>
    </row>
    <row r="154" spans="1:4" ht="15.6" x14ac:dyDescent="0.3">
      <c r="A154" s="8" t="s">
        <v>454</v>
      </c>
      <c r="B154" s="8">
        <v>437.45</v>
      </c>
      <c r="C154" s="15">
        <f>'Ratio Analysis'!$G$23</f>
        <v>11117.15976331361</v>
      </c>
      <c r="D154" s="28">
        <f t="shared" si="2"/>
        <v>3.9349079199489032E-2</v>
      </c>
    </row>
    <row r="155" spans="1:4" ht="15.6" x14ac:dyDescent="0.3">
      <c r="A155" s="8" t="s">
        <v>455</v>
      </c>
      <c r="B155" s="8">
        <v>436.35</v>
      </c>
      <c r="C155" s="15">
        <f>'Ratio Analysis'!$G$23</f>
        <v>11117.15976331361</v>
      </c>
      <c r="D155" s="28">
        <f t="shared" si="2"/>
        <v>3.9250133063657655E-2</v>
      </c>
    </row>
    <row r="156" spans="1:4" ht="15.6" x14ac:dyDescent="0.3">
      <c r="A156" s="59">
        <v>45968</v>
      </c>
      <c r="B156" s="8">
        <v>424.9</v>
      </c>
      <c r="C156" s="15">
        <f>'Ratio Analysis'!$G$23</f>
        <v>11117.15976331361</v>
      </c>
      <c r="D156" s="28">
        <f t="shared" si="2"/>
        <v>3.822019374068554E-2</v>
      </c>
    </row>
    <row r="157" spans="1:4" ht="15.6" x14ac:dyDescent="0.3">
      <c r="A157" s="59">
        <v>45937</v>
      </c>
      <c r="B157" s="8">
        <v>422.8</v>
      </c>
      <c r="C157" s="15">
        <f>'Ratio Analysis'!$G$23</f>
        <v>11117.15976331361</v>
      </c>
      <c r="D157" s="28">
        <f t="shared" si="2"/>
        <v>3.8031296572280181E-2</v>
      </c>
    </row>
    <row r="158" spans="1:4" ht="15.6" x14ac:dyDescent="0.3">
      <c r="A158" s="59">
        <v>45907</v>
      </c>
      <c r="B158" s="8">
        <v>425</v>
      </c>
      <c r="C158" s="15">
        <f>'Ratio Analysis'!$G$23</f>
        <v>11117.15976331361</v>
      </c>
      <c r="D158" s="28">
        <f t="shared" si="2"/>
        <v>3.8229188843942941E-2</v>
      </c>
    </row>
    <row r="159" spans="1:4" ht="15.6" x14ac:dyDescent="0.3">
      <c r="A159" s="59">
        <v>45876</v>
      </c>
      <c r="B159" s="8">
        <v>436.2</v>
      </c>
      <c r="C159" s="15">
        <f>'Ratio Analysis'!$G$23</f>
        <v>11117.15976331361</v>
      </c>
      <c r="D159" s="28">
        <f t="shared" si="2"/>
        <v>3.9236640408771555E-2</v>
      </c>
    </row>
    <row r="160" spans="1:4" ht="15.6" x14ac:dyDescent="0.3">
      <c r="A160" s="59">
        <v>45845</v>
      </c>
      <c r="B160" s="8">
        <v>437.5</v>
      </c>
      <c r="C160" s="15">
        <f>'Ratio Analysis'!$G$23</f>
        <v>11117.15976331361</v>
      </c>
      <c r="D160" s="28">
        <f t="shared" si="2"/>
        <v>3.9353576751117732E-2</v>
      </c>
    </row>
    <row r="161" spans="1:4" ht="15.6" x14ac:dyDescent="0.3">
      <c r="A161" s="59">
        <v>45754</v>
      </c>
      <c r="B161" s="8">
        <v>445.1</v>
      </c>
      <c r="C161" s="15">
        <f>'Ratio Analysis'!$G$23</f>
        <v>11117.15976331361</v>
      </c>
      <c r="D161" s="28">
        <f t="shared" si="2"/>
        <v>4.0037204598680008E-2</v>
      </c>
    </row>
    <row r="162" spans="1:4" ht="15.6" x14ac:dyDescent="0.3">
      <c r="A162" s="59">
        <v>45723</v>
      </c>
      <c r="B162" s="8">
        <v>445.55</v>
      </c>
      <c r="C162" s="15">
        <f>'Ratio Analysis'!$G$23</f>
        <v>11117.15976331361</v>
      </c>
      <c r="D162" s="28">
        <f t="shared" si="2"/>
        <v>4.0077682563338303E-2</v>
      </c>
    </row>
    <row r="163" spans="1:4" ht="15.6" x14ac:dyDescent="0.3">
      <c r="A163" s="59">
        <v>45695</v>
      </c>
      <c r="B163" s="8">
        <v>447.2</v>
      </c>
      <c r="C163" s="15">
        <f>'Ratio Analysis'!$G$23</f>
        <v>11117.15976331361</v>
      </c>
      <c r="D163" s="28">
        <f t="shared" si="2"/>
        <v>4.0226101767085375E-2</v>
      </c>
    </row>
    <row r="164" spans="1:4" ht="15.6" x14ac:dyDescent="0.3">
      <c r="A164" s="59">
        <v>45664</v>
      </c>
      <c r="B164" s="8">
        <v>450.35</v>
      </c>
      <c r="C164" s="15">
        <f>'Ratio Analysis'!$G$23</f>
        <v>11117.15976331361</v>
      </c>
      <c r="D164" s="28">
        <f t="shared" si="2"/>
        <v>4.0509447519693424E-2</v>
      </c>
    </row>
    <row r="165" spans="1:4" ht="15.6" x14ac:dyDescent="0.3">
      <c r="A165" s="8" t="s">
        <v>456</v>
      </c>
      <c r="B165" s="8">
        <v>450.85</v>
      </c>
      <c r="C165" s="15">
        <f>'Ratio Analysis'!$G$23</f>
        <v>11117.15976331361</v>
      </c>
      <c r="D165" s="28">
        <f t="shared" si="2"/>
        <v>4.0554423035980412E-2</v>
      </c>
    </row>
    <row r="166" spans="1:4" ht="15.6" x14ac:dyDescent="0.3">
      <c r="A166" s="8" t="s">
        <v>457</v>
      </c>
      <c r="B166" s="8">
        <v>451.15</v>
      </c>
      <c r="C166" s="15">
        <f>'Ratio Analysis'!$G$23</f>
        <v>11117.15976331361</v>
      </c>
      <c r="D166" s="28">
        <f t="shared" si="2"/>
        <v>4.0581408345752606E-2</v>
      </c>
    </row>
    <row r="167" spans="1:4" ht="15.6" x14ac:dyDescent="0.3">
      <c r="A167" s="8" t="s">
        <v>458</v>
      </c>
      <c r="B167" s="8">
        <v>448.9</v>
      </c>
      <c r="C167" s="15">
        <f>'Ratio Analysis'!$G$23</f>
        <v>11117.15976331361</v>
      </c>
      <c r="D167" s="28">
        <f t="shared" si="2"/>
        <v>4.0379018522461139E-2</v>
      </c>
    </row>
    <row r="168" spans="1:4" ht="15.6" x14ac:dyDescent="0.3">
      <c r="A168" s="8" t="s">
        <v>459</v>
      </c>
      <c r="B168" s="8">
        <v>442.1</v>
      </c>
      <c r="C168" s="15">
        <f>'Ratio Analysis'!$G$23</f>
        <v>11117.15976331361</v>
      </c>
      <c r="D168" s="28">
        <f t="shared" si="2"/>
        <v>3.9767351500958059E-2</v>
      </c>
    </row>
    <row r="169" spans="1:4" ht="15.6" x14ac:dyDescent="0.3">
      <c r="A169" s="8" t="s">
        <v>460</v>
      </c>
      <c r="B169" s="8">
        <v>442.9</v>
      </c>
      <c r="C169" s="15">
        <f>'Ratio Analysis'!$G$23</f>
        <v>11117.15976331361</v>
      </c>
      <c r="D169" s="28">
        <f t="shared" si="2"/>
        <v>3.9839312327017241E-2</v>
      </c>
    </row>
    <row r="170" spans="1:4" ht="15.6" x14ac:dyDescent="0.3">
      <c r="A170" s="8" t="s">
        <v>461</v>
      </c>
      <c r="B170" s="8">
        <v>440.55</v>
      </c>
      <c r="C170" s="15">
        <f>'Ratio Analysis'!$G$23</f>
        <v>11117.15976331361</v>
      </c>
      <c r="D170" s="28">
        <f t="shared" si="2"/>
        <v>3.9627927400468381E-2</v>
      </c>
    </row>
    <row r="171" spans="1:4" ht="15.6" x14ac:dyDescent="0.3">
      <c r="A171" s="8" t="s">
        <v>462</v>
      </c>
      <c r="B171" s="8">
        <v>438.6</v>
      </c>
      <c r="C171" s="15">
        <f>'Ratio Analysis'!$G$23</f>
        <v>11117.15976331361</v>
      </c>
      <c r="D171" s="28">
        <f t="shared" si="2"/>
        <v>3.9452522886949115E-2</v>
      </c>
    </row>
    <row r="172" spans="1:4" ht="15.6" x14ac:dyDescent="0.3">
      <c r="A172" s="8" t="s">
        <v>463</v>
      </c>
      <c r="B172" s="8">
        <v>437.45</v>
      </c>
      <c r="C172" s="15">
        <f>'Ratio Analysis'!$G$23</f>
        <v>11117.15976331361</v>
      </c>
      <c r="D172" s="28">
        <f t="shared" si="2"/>
        <v>3.9349079199489032E-2</v>
      </c>
    </row>
    <row r="173" spans="1:4" ht="15.6" x14ac:dyDescent="0.3">
      <c r="A173" s="8" t="s">
        <v>464</v>
      </c>
      <c r="B173" s="8">
        <v>452.8</v>
      </c>
      <c r="C173" s="15">
        <f>'Ratio Analysis'!$G$23</f>
        <v>11117.15976331361</v>
      </c>
      <c r="D173" s="28">
        <f t="shared" si="2"/>
        <v>4.0729827549499678E-2</v>
      </c>
    </row>
    <row r="174" spans="1:4" ht="15.6" x14ac:dyDescent="0.3">
      <c r="A174" s="8" t="s">
        <v>465</v>
      </c>
      <c r="B174" s="8">
        <v>486.35</v>
      </c>
      <c r="C174" s="15">
        <f>'Ratio Analysis'!$G$23</f>
        <v>11117.15976331361</v>
      </c>
      <c r="D174" s="28">
        <f t="shared" si="2"/>
        <v>4.3747684692356827E-2</v>
      </c>
    </row>
    <row r="175" spans="1:4" ht="15.6" x14ac:dyDescent="0.3">
      <c r="A175" s="8" t="s">
        <v>466</v>
      </c>
      <c r="B175" s="8">
        <v>512.95000000000005</v>
      </c>
      <c r="C175" s="15">
        <f>'Ratio Analysis'!$G$23</f>
        <v>11117.15976331361</v>
      </c>
      <c r="D175" s="28">
        <f t="shared" si="2"/>
        <v>4.6140382158824787E-2</v>
      </c>
    </row>
    <row r="176" spans="1:4" ht="15.6" x14ac:dyDescent="0.3">
      <c r="A176" s="8" t="s">
        <v>467</v>
      </c>
      <c r="B176" s="8">
        <v>514.25</v>
      </c>
      <c r="C176" s="15">
        <f>'Ratio Analysis'!$G$23</f>
        <v>11117.15976331361</v>
      </c>
      <c r="D176" s="28">
        <f t="shared" si="2"/>
        <v>4.6257318501170958E-2</v>
      </c>
    </row>
    <row r="177" spans="1:4" ht="15.6" x14ac:dyDescent="0.3">
      <c r="A177" s="59">
        <v>45997</v>
      </c>
      <c r="B177" s="8">
        <v>517.25</v>
      </c>
      <c r="C177" s="15">
        <f>'Ratio Analysis'!$G$23</f>
        <v>11117.15976331361</v>
      </c>
      <c r="D177" s="28">
        <f t="shared" si="2"/>
        <v>4.6527171598892907E-2</v>
      </c>
    </row>
    <row r="178" spans="1:4" ht="15.6" x14ac:dyDescent="0.3">
      <c r="A178" s="59">
        <v>45967</v>
      </c>
      <c r="B178" s="8">
        <v>520.54999999999995</v>
      </c>
      <c r="C178" s="15">
        <f>'Ratio Analysis'!$G$23</f>
        <v>11117.15976331361</v>
      </c>
      <c r="D178" s="28">
        <f t="shared" si="2"/>
        <v>4.682401000638705E-2</v>
      </c>
    </row>
    <row r="179" spans="1:4" ht="15.6" x14ac:dyDescent="0.3">
      <c r="A179" s="59">
        <v>45936</v>
      </c>
      <c r="B179" s="8">
        <v>534.04999999999995</v>
      </c>
      <c r="C179" s="15">
        <f>'Ratio Analysis'!$G$23</f>
        <v>11117.15976331361</v>
      </c>
      <c r="D179" s="28">
        <f t="shared" si="2"/>
        <v>4.8038348946135824E-2</v>
      </c>
    </row>
    <row r="180" spans="1:4" ht="15.6" x14ac:dyDescent="0.3">
      <c r="A180" s="59">
        <v>45906</v>
      </c>
      <c r="B180" s="8">
        <v>525</v>
      </c>
      <c r="C180" s="15">
        <f>'Ratio Analysis'!$G$23</f>
        <v>11117.15976331361</v>
      </c>
      <c r="D180" s="28">
        <f t="shared" si="2"/>
        <v>4.7224292101341284E-2</v>
      </c>
    </row>
    <row r="181" spans="1:4" ht="15.6" x14ac:dyDescent="0.3">
      <c r="A181" s="59">
        <v>45814</v>
      </c>
      <c r="B181" s="8">
        <v>502.25</v>
      </c>
      <c r="C181" s="15">
        <f>'Ratio Analysis'!$G$23</f>
        <v>11117.15976331361</v>
      </c>
      <c r="D181" s="28">
        <f t="shared" si="2"/>
        <v>4.5177906110283161E-2</v>
      </c>
    </row>
    <row r="182" spans="1:4" ht="15.6" x14ac:dyDescent="0.3">
      <c r="A182" s="59">
        <v>45783</v>
      </c>
      <c r="B182" s="8">
        <v>491.6</v>
      </c>
      <c r="C182" s="15">
        <f>'Ratio Analysis'!$G$23</f>
        <v>11117.15976331361</v>
      </c>
      <c r="D182" s="28">
        <f t="shared" si="2"/>
        <v>4.4219927613370236E-2</v>
      </c>
    </row>
    <row r="183" spans="1:4" ht="15.6" x14ac:dyDescent="0.3">
      <c r="A183" s="59">
        <v>45753</v>
      </c>
      <c r="B183" s="8">
        <v>468</v>
      </c>
      <c r="C183" s="15">
        <f>'Ratio Analysis'!$G$23</f>
        <v>11117.15976331361</v>
      </c>
      <c r="D183" s="28">
        <f t="shared" si="2"/>
        <v>4.2097083244624224E-2</v>
      </c>
    </row>
    <row r="184" spans="1:4" ht="15.6" x14ac:dyDescent="0.3">
      <c r="A184" s="59">
        <v>45722</v>
      </c>
      <c r="B184" s="8">
        <v>468.75</v>
      </c>
      <c r="C184" s="15">
        <f>'Ratio Analysis'!$G$23</f>
        <v>11117.15976331361</v>
      </c>
      <c r="D184" s="28">
        <f t="shared" si="2"/>
        <v>4.2164546519054713E-2</v>
      </c>
    </row>
    <row r="185" spans="1:4" ht="15.6" x14ac:dyDescent="0.3">
      <c r="A185" s="59">
        <v>45694</v>
      </c>
      <c r="B185" s="8">
        <v>453.15</v>
      </c>
      <c r="C185" s="15">
        <f>'Ratio Analysis'!$G$23</f>
        <v>11117.15976331361</v>
      </c>
      <c r="D185" s="28">
        <f t="shared" si="2"/>
        <v>4.0761310410900572E-2</v>
      </c>
    </row>
    <row r="186" spans="1:4" ht="15.6" x14ac:dyDescent="0.3">
      <c r="A186" s="8" t="s">
        <v>468</v>
      </c>
      <c r="B186" s="8">
        <v>458.2</v>
      </c>
      <c r="C186" s="15">
        <f>'Ratio Analysis'!$G$23</f>
        <v>11117.15976331361</v>
      </c>
      <c r="D186" s="28">
        <f t="shared" si="2"/>
        <v>4.1215563125399188E-2</v>
      </c>
    </row>
    <row r="187" spans="1:4" ht="15.6" x14ac:dyDescent="0.3">
      <c r="A187" s="8" t="s">
        <v>469</v>
      </c>
      <c r="B187" s="8">
        <v>464.75</v>
      </c>
      <c r="C187" s="15">
        <f>'Ratio Analysis'!$G$23</f>
        <v>11117.15976331361</v>
      </c>
      <c r="D187" s="28">
        <f t="shared" si="2"/>
        <v>4.1804742388758781E-2</v>
      </c>
    </row>
    <row r="188" spans="1:4" ht="15.6" x14ac:dyDescent="0.3">
      <c r="A188" s="8" t="s">
        <v>470</v>
      </c>
      <c r="B188" s="8">
        <v>452.6</v>
      </c>
      <c r="C188" s="15">
        <f>'Ratio Analysis'!$G$23</f>
        <v>11117.15976331361</v>
      </c>
      <c r="D188" s="28">
        <f t="shared" si="2"/>
        <v>4.0711837342984884E-2</v>
      </c>
    </row>
    <row r="189" spans="1:4" ht="15.6" x14ac:dyDescent="0.3">
      <c r="A189" s="8" t="s">
        <v>471</v>
      </c>
      <c r="B189" s="8">
        <v>451.5</v>
      </c>
      <c r="C189" s="15">
        <f>'Ratio Analysis'!$G$23</f>
        <v>11117.15976331361</v>
      </c>
      <c r="D189" s="28">
        <f t="shared" si="2"/>
        <v>4.0612891207153501E-2</v>
      </c>
    </row>
    <row r="190" spans="1:4" ht="15.6" x14ac:dyDescent="0.3">
      <c r="A190" s="8" t="s">
        <v>472</v>
      </c>
      <c r="B190" s="8">
        <v>450.95</v>
      </c>
      <c r="C190" s="15">
        <f>'Ratio Analysis'!$G$23</f>
        <v>11117.15976331361</v>
      </c>
      <c r="D190" s="28">
        <f t="shared" si="2"/>
        <v>4.0563418139237806E-2</v>
      </c>
    </row>
    <row r="191" spans="1:4" ht="15.6" x14ac:dyDescent="0.3">
      <c r="A191" s="8" t="s">
        <v>473</v>
      </c>
      <c r="B191" s="8">
        <v>447.05</v>
      </c>
      <c r="C191" s="15">
        <f>'Ratio Analysis'!$G$23</f>
        <v>11117.15976331361</v>
      </c>
      <c r="D191" s="28">
        <f t="shared" si="2"/>
        <v>4.0212609112199274E-2</v>
      </c>
    </row>
    <row r="192" spans="1:4" ht="15.6" x14ac:dyDescent="0.3">
      <c r="A192" s="8" t="s">
        <v>474</v>
      </c>
      <c r="B192" s="8">
        <v>442.4</v>
      </c>
      <c r="C192" s="15">
        <f>'Ratio Analysis'!$G$23</f>
        <v>11117.15976331361</v>
      </c>
      <c r="D192" s="28">
        <f t="shared" si="2"/>
        <v>3.9794336810730253E-2</v>
      </c>
    </row>
    <row r="193" spans="1:4" ht="15.6" x14ac:dyDescent="0.3">
      <c r="A193" s="8" t="s">
        <v>475</v>
      </c>
      <c r="B193" s="8">
        <v>442.05</v>
      </c>
      <c r="C193" s="15">
        <f>'Ratio Analysis'!$G$23</f>
        <v>11117.15976331361</v>
      </c>
      <c r="D193" s="28">
        <f t="shared" si="2"/>
        <v>3.9762853949329359E-2</v>
      </c>
    </row>
    <row r="194" spans="1:4" ht="15.6" x14ac:dyDescent="0.3">
      <c r="A194" s="8" t="s">
        <v>476</v>
      </c>
      <c r="B194" s="8">
        <v>435.3</v>
      </c>
      <c r="C194" s="15">
        <f>'Ratio Analysis'!$G$23</f>
        <v>11117.15976331361</v>
      </c>
      <c r="D194" s="28">
        <f t="shared" si="2"/>
        <v>3.9155684479454972E-2</v>
      </c>
    </row>
    <row r="195" spans="1:4" ht="15.6" x14ac:dyDescent="0.3">
      <c r="A195" s="8" t="s">
        <v>477</v>
      </c>
      <c r="B195" s="8">
        <v>448.2</v>
      </c>
      <c r="C195" s="15">
        <f>'Ratio Analysis'!$G$23</f>
        <v>11117.15976331361</v>
      </c>
      <c r="D195" s="28">
        <f t="shared" si="2"/>
        <v>4.0316052799659358E-2</v>
      </c>
    </row>
    <row r="196" spans="1:4" ht="15.6" x14ac:dyDescent="0.3">
      <c r="A196" s="8" t="s">
        <v>478</v>
      </c>
      <c r="B196" s="8">
        <v>442.3</v>
      </c>
      <c r="C196" s="15">
        <f>'Ratio Analysis'!$G$23</f>
        <v>11117.15976331361</v>
      </c>
      <c r="D196" s="28">
        <f t="shared" si="2"/>
        <v>3.9785341707472853E-2</v>
      </c>
    </row>
    <row r="197" spans="1:4" ht="15.6" x14ac:dyDescent="0.3">
      <c r="A197" s="8" t="s">
        <v>479</v>
      </c>
      <c r="B197" s="8">
        <v>440.75</v>
      </c>
      <c r="C197" s="15">
        <f>'Ratio Analysis'!$G$23</f>
        <v>11117.15976331361</v>
      </c>
      <c r="D197" s="28">
        <f t="shared" si="2"/>
        <v>3.9645917606983182E-2</v>
      </c>
    </row>
    <row r="198" spans="1:4" ht="15.6" x14ac:dyDescent="0.3">
      <c r="A198" s="8" t="s">
        <v>480</v>
      </c>
      <c r="B198" s="8">
        <v>438.95</v>
      </c>
      <c r="C198" s="15">
        <f>'Ratio Analysis'!$G$23</f>
        <v>11117.15976331361</v>
      </c>
      <c r="D198" s="28">
        <f t="shared" si="2"/>
        <v>3.948400574835001E-2</v>
      </c>
    </row>
    <row r="199" spans="1:4" ht="15.6" x14ac:dyDescent="0.3">
      <c r="A199" s="8" t="s">
        <v>481</v>
      </c>
      <c r="B199" s="8">
        <v>428.9</v>
      </c>
      <c r="C199" s="15">
        <f>'Ratio Analysis'!$G$23</f>
        <v>11117.15976331361</v>
      </c>
      <c r="D199" s="28">
        <f t="shared" ref="D199:D262" si="3">B199/C199</f>
        <v>3.8579997870981472E-2</v>
      </c>
    </row>
    <row r="200" spans="1:4" ht="15.6" x14ac:dyDescent="0.3">
      <c r="A200" s="59">
        <v>45996</v>
      </c>
      <c r="B200" s="8">
        <v>434.95</v>
      </c>
      <c r="C200" s="15">
        <f>'Ratio Analysis'!$G$23</f>
        <v>11117.15976331361</v>
      </c>
      <c r="D200" s="28">
        <f t="shared" si="3"/>
        <v>3.9124201618054077E-2</v>
      </c>
    </row>
    <row r="201" spans="1:4" ht="15.6" x14ac:dyDescent="0.3">
      <c r="A201" s="59">
        <v>45905</v>
      </c>
      <c r="B201" s="8">
        <v>408.35</v>
      </c>
      <c r="C201" s="15">
        <f>'Ratio Analysis'!$G$23</f>
        <v>11117.15976331361</v>
      </c>
      <c r="D201" s="28">
        <f t="shared" si="3"/>
        <v>3.6731504151586117E-2</v>
      </c>
    </row>
    <row r="202" spans="1:4" ht="15.6" x14ac:dyDescent="0.3">
      <c r="A202" s="59">
        <v>45874</v>
      </c>
      <c r="B202" s="8">
        <v>409.35</v>
      </c>
      <c r="C202" s="15">
        <f>'Ratio Analysis'!$G$23</f>
        <v>11117.15976331361</v>
      </c>
      <c r="D202" s="28">
        <f t="shared" si="3"/>
        <v>3.68214551841601E-2</v>
      </c>
    </row>
    <row r="203" spans="1:4" ht="15.6" x14ac:dyDescent="0.3">
      <c r="A203" s="59">
        <v>45843</v>
      </c>
      <c r="B203" s="8">
        <v>422.7</v>
      </c>
      <c r="C203" s="15">
        <f>'Ratio Analysis'!$G$23</f>
        <v>11117.15976331361</v>
      </c>
      <c r="D203" s="28">
        <f t="shared" si="3"/>
        <v>3.802230146902278E-2</v>
      </c>
    </row>
    <row r="204" spans="1:4" ht="15.6" x14ac:dyDescent="0.3">
      <c r="A204" s="59">
        <v>45813</v>
      </c>
      <c r="B204" s="8">
        <v>413.45</v>
      </c>
      <c r="C204" s="15">
        <f>'Ratio Analysis'!$G$23</f>
        <v>11117.15976331361</v>
      </c>
      <c r="D204" s="28">
        <f t="shared" si="3"/>
        <v>3.7190254417713432E-2</v>
      </c>
    </row>
    <row r="205" spans="1:4" ht="15.6" x14ac:dyDescent="0.3">
      <c r="A205" s="59">
        <v>45782</v>
      </c>
      <c r="B205" s="8">
        <v>428.25</v>
      </c>
      <c r="C205" s="15">
        <f>'Ratio Analysis'!$G$23</f>
        <v>11117.15976331361</v>
      </c>
      <c r="D205" s="28">
        <f t="shared" si="3"/>
        <v>3.8521529699808391E-2</v>
      </c>
    </row>
    <row r="206" spans="1:4" ht="15.6" x14ac:dyDescent="0.3">
      <c r="A206" s="59">
        <v>45693</v>
      </c>
      <c r="B206" s="8">
        <v>428.7</v>
      </c>
      <c r="C206" s="15">
        <f>'Ratio Analysis'!$G$23</f>
        <v>11117.15976331361</v>
      </c>
      <c r="D206" s="28">
        <f t="shared" si="3"/>
        <v>3.8562007664466678E-2</v>
      </c>
    </row>
    <row r="207" spans="1:4" ht="15.6" x14ac:dyDescent="0.3">
      <c r="A207" s="8" t="s">
        <v>482</v>
      </c>
      <c r="B207" s="8">
        <v>439.2</v>
      </c>
      <c r="C207" s="15">
        <f>'Ratio Analysis'!$F$23</f>
        <v>8176.3313609467459</v>
      </c>
      <c r="D207" s="28">
        <f t="shared" si="3"/>
        <v>5.371602257924446E-2</v>
      </c>
    </row>
    <row r="208" spans="1:4" ht="15.6" x14ac:dyDescent="0.3">
      <c r="A208" s="8" t="s">
        <v>483</v>
      </c>
      <c r="B208" s="8">
        <v>445.45</v>
      </c>
      <c r="C208" s="15">
        <f>'Ratio Analysis'!$F$23</f>
        <v>8176.3313609467459</v>
      </c>
      <c r="D208" s="28">
        <f t="shared" si="3"/>
        <v>5.4480424084527426E-2</v>
      </c>
    </row>
    <row r="209" spans="1:4" ht="15.6" x14ac:dyDescent="0.3">
      <c r="A209" s="8" t="s">
        <v>484</v>
      </c>
      <c r="B209" s="8">
        <v>452.5</v>
      </c>
      <c r="C209" s="15">
        <f>'Ratio Analysis'!$F$23</f>
        <v>8176.3313609467459</v>
      </c>
      <c r="D209" s="28">
        <f t="shared" si="3"/>
        <v>5.5342668982486611E-2</v>
      </c>
    </row>
    <row r="210" spans="1:4" ht="15.6" x14ac:dyDescent="0.3">
      <c r="A210" s="8" t="s">
        <v>485</v>
      </c>
      <c r="B210" s="8">
        <v>445</v>
      </c>
      <c r="C210" s="15">
        <f>'Ratio Analysis'!$F$23</f>
        <v>8176.3313609467459</v>
      </c>
      <c r="D210" s="28">
        <f t="shared" si="3"/>
        <v>5.4425387176147054E-2</v>
      </c>
    </row>
    <row r="211" spans="1:4" ht="15.6" x14ac:dyDescent="0.3">
      <c r="A211" s="8" t="s">
        <v>486</v>
      </c>
      <c r="B211" s="8">
        <v>459.35</v>
      </c>
      <c r="C211" s="15">
        <f>'Ratio Analysis'!$F$23</f>
        <v>8176.3313609467459</v>
      </c>
      <c r="D211" s="28">
        <f t="shared" si="3"/>
        <v>5.6180453032276742E-2</v>
      </c>
    </row>
    <row r="212" spans="1:4" ht="15.6" x14ac:dyDescent="0.3">
      <c r="A212" s="8" t="s">
        <v>487</v>
      </c>
      <c r="B212" s="8">
        <v>449.05</v>
      </c>
      <c r="C212" s="15">
        <f>'Ratio Analysis'!$F$23</f>
        <v>8176.3313609467459</v>
      </c>
      <c r="D212" s="28">
        <f t="shared" si="3"/>
        <v>5.4920719351570411E-2</v>
      </c>
    </row>
    <row r="213" spans="1:4" ht="15.6" x14ac:dyDescent="0.3">
      <c r="A213" s="8" t="s">
        <v>488</v>
      </c>
      <c r="B213" s="8">
        <v>445.75</v>
      </c>
      <c r="C213" s="15">
        <f>'Ratio Analysis'!$F$23</f>
        <v>8176.3313609467459</v>
      </c>
      <c r="D213" s="28">
        <f t="shared" si="3"/>
        <v>5.4517115356781005E-2</v>
      </c>
    </row>
    <row r="214" spans="1:4" ht="15.6" x14ac:dyDescent="0.3">
      <c r="A214" s="8" t="s">
        <v>489</v>
      </c>
      <c r="B214" s="8">
        <v>452.45</v>
      </c>
      <c r="C214" s="15">
        <f>'Ratio Analysis'!$F$23</f>
        <v>8176.3313609467459</v>
      </c>
      <c r="D214" s="28">
        <f t="shared" si="3"/>
        <v>5.5336553770444344E-2</v>
      </c>
    </row>
    <row r="215" spans="1:4" ht="15.6" x14ac:dyDescent="0.3">
      <c r="A215" s="8" t="s">
        <v>490</v>
      </c>
      <c r="B215" s="8">
        <v>439.7</v>
      </c>
      <c r="C215" s="15">
        <f>'Ratio Analysis'!$F$23</f>
        <v>8176.3313609467459</v>
      </c>
      <c r="D215" s="28">
        <f t="shared" si="3"/>
        <v>5.3777174699667099E-2</v>
      </c>
    </row>
    <row r="216" spans="1:4" ht="15.6" x14ac:dyDescent="0.3">
      <c r="A216" s="8" t="s">
        <v>491</v>
      </c>
      <c r="B216" s="8">
        <v>438</v>
      </c>
      <c r="C216" s="15">
        <f>'Ratio Analysis'!$F$23</f>
        <v>8176.3313609467459</v>
      </c>
      <c r="D216" s="28">
        <f t="shared" si="3"/>
        <v>5.3569257490230129E-2</v>
      </c>
    </row>
    <row r="217" spans="1:4" ht="15.6" x14ac:dyDescent="0.3">
      <c r="A217" s="8" t="s">
        <v>492</v>
      </c>
      <c r="B217" s="8">
        <v>433.9</v>
      </c>
      <c r="C217" s="15">
        <f>'Ratio Analysis'!$F$23</f>
        <v>8176.3313609467459</v>
      </c>
      <c r="D217" s="28">
        <f t="shared" si="3"/>
        <v>5.3067810102764505E-2</v>
      </c>
    </row>
    <row r="218" spans="1:4" ht="15.6" x14ac:dyDescent="0.3">
      <c r="A218" s="59">
        <v>45965</v>
      </c>
      <c r="B218" s="8">
        <v>411.05</v>
      </c>
      <c r="C218" s="15">
        <f>'Ratio Analysis'!$F$23</f>
        <v>8176.3313609467459</v>
      </c>
      <c r="D218" s="28">
        <f t="shared" si="3"/>
        <v>5.027315819944999E-2</v>
      </c>
    </row>
    <row r="219" spans="1:4" ht="15.6" x14ac:dyDescent="0.3">
      <c r="A219" s="59">
        <v>45904</v>
      </c>
      <c r="B219" s="8">
        <v>400.6</v>
      </c>
      <c r="C219" s="15">
        <f>'Ratio Analysis'!$F$23</f>
        <v>8176.3313609467459</v>
      </c>
      <c r="D219" s="28">
        <f t="shared" si="3"/>
        <v>4.899507888261688E-2</v>
      </c>
    </row>
    <row r="220" spans="1:4" ht="15.6" x14ac:dyDescent="0.3">
      <c r="A220" s="59">
        <v>45873</v>
      </c>
      <c r="B220" s="8">
        <v>412.05</v>
      </c>
      <c r="C220" s="15">
        <f>'Ratio Analysis'!$F$23</f>
        <v>8176.3313609467459</v>
      </c>
      <c r="D220" s="28">
        <f t="shared" si="3"/>
        <v>5.0395462440295268E-2</v>
      </c>
    </row>
    <row r="221" spans="1:4" ht="15.6" x14ac:dyDescent="0.3">
      <c r="A221" s="59">
        <v>45842</v>
      </c>
      <c r="B221" s="8">
        <v>406.75</v>
      </c>
      <c r="C221" s="15">
        <f>'Ratio Analysis'!$F$23</f>
        <v>8176.3313609467459</v>
      </c>
      <c r="D221" s="28">
        <f t="shared" si="3"/>
        <v>4.9747249963815313E-2</v>
      </c>
    </row>
    <row r="222" spans="1:4" ht="15.6" x14ac:dyDescent="0.3">
      <c r="A222" s="59">
        <v>45751</v>
      </c>
      <c r="B222" s="8">
        <v>426.95</v>
      </c>
      <c r="C222" s="15">
        <f>'Ratio Analysis'!$F$23</f>
        <v>8176.3313609467459</v>
      </c>
      <c r="D222" s="28">
        <f t="shared" si="3"/>
        <v>5.2217795628889847E-2</v>
      </c>
    </row>
    <row r="223" spans="1:4" ht="15.6" x14ac:dyDescent="0.3">
      <c r="A223" s="59">
        <v>45720</v>
      </c>
      <c r="B223" s="8">
        <v>459.15</v>
      </c>
      <c r="C223" s="15">
        <f>'Ratio Analysis'!$F$23</f>
        <v>8176.3313609467459</v>
      </c>
      <c r="D223" s="28">
        <f t="shared" si="3"/>
        <v>5.6155992184107682E-2</v>
      </c>
    </row>
    <row r="224" spans="1:4" ht="15.6" x14ac:dyDescent="0.3">
      <c r="A224" s="59">
        <v>45692</v>
      </c>
      <c r="B224" s="8">
        <v>460.8</v>
      </c>
      <c r="C224" s="15">
        <f>'Ratio Analysis'!$F$23</f>
        <v>8176.3313609467459</v>
      </c>
      <c r="D224" s="28">
        <f t="shared" si="3"/>
        <v>5.6357794181502385E-2</v>
      </c>
    </row>
    <row r="225" spans="1:4" ht="15.6" x14ac:dyDescent="0.3">
      <c r="A225" s="59">
        <v>45661</v>
      </c>
      <c r="B225" s="8">
        <v>453.75</v>
      </c>
      <c r="C225" s="15">
        <f>'Ratio Analysis'!$F$23</f>
        <v>8176.3313609467459</v>
      </c>
      <c r="D225" s="28">
        <f t="shared" si="3"/>
        <v>5.5495549283543201E-2</v>
      </c>
    </row>
    <row r="226" spans="1:4" ht="15.6" x14ac:dyDescent="0.3">
      <c r="A226" s="8" t="s">
        <v>493</v>
      </c>
      <c r="B226" s="8">
        <v>461.9</v>
      </c>
      <c r="C226" s="15">
        <f>'Ratio Analysis'!$F$23</f>
        <v>8176.3313609467459</v>
      </c>
      <c r="D226" s="28">
        <f t="shared" si="3"/>
        <v>5.6492328846432183E-2</v>
      </c>
    </row>
    <row r="227" spans="1:4" ht="15.6" x14ac:dyDescent="0.3">
      <c r="A227" s="8" t="s">
        <v>494</v>
      </c>
      <c r="B227" s="8">
        <v>447.9</v>
      </c>
      <c r="C227" s="15">
        <f>'Ratio Analysis'!$F$23</f>
        <v>8176.3313609467459</v>
      </c>
      <c r="D227" s="28">
        <f t="shared" si="3"/>
        <v>5.4780069474598347E-2</v>
      </c>
    </row>
    <row r="228" spans="1:4" ht="15.6" x14ac:dyDescent="0.3">
      <c r="A228" s="8" t="s">
        <v>495</v>
      </c>
      <c r="B228" s="8">
        <v>442.2</v>
      </c>
      <c r="C228" s="15">
        <f>'Ratio Analysis'!$F$23</f>
        <v>8176.3313609467459</v>
      </c>
      <c r="D228" s="28">
        <f t="shared" si="3"/>
        <v>5.408293530178028E-2</v>
      </c>
    </row>
    <row r="229" spans="1:4" ht="15.6" x14ac:dyDescent="0.3">
      <c r="A229" s="8" t="s">
        <v>496</v>
      </c>
      <c r="B229" s="8">
        <v>444.45</v>
      </c>
      <c r="C229" s="15">
        <f>'Ratio Analysis'!$F$23</f>
        <v>8176.3313609467459</v>
      </c>
      <c r="D229" s="28">
        <f t="shared" si="3"/>
        <v>5.4358119843682148E-2</v>
      </c>
    </row>
    <row r="230" spans="1:4" ht="15.6" x14ac:dyDescent="0.3">
      <c r="A230" s="8" t="s">
        <v>497</v>
      </c>
      <c r="B230" s="8">
        <v>453.3</v>
      </c>
      <c r="C230" s="15">
        <f>'Ratio Analysis'!$F$23</f>
        <v>8176.3313609467459</v>
      </c>
      <c r="D230" s="28">
        <f t="shared" si="3"/>
        <v>5.5440512375162829E-2</v>
      </c>
    </row>
    <row r="231" spans="1:4" ht="15.6" x14ac:dyDescent="0.3">
      <c r="A231" s="8" t="s">
        <v>498</v>
      </c>
      <c r="B231" s="8">
        <v>446.4</v>
      </c>
      <c r="C231" s="15">
        <f>'Ratio Analysis'!$F$23</f>
        <v>8176.3313609467459</v>
      </c>
      <c r="D231" s="28">
        <f t="shared" si="3"/>
        <v>5.4596613113330431E-2</v>
      </c>
    </row>
    <row r="232" spans="1:4" ht="15.6" x14ac:dyDescent="0.3">
      <c r="A232" s="8" t="s">
        <v>499</v>
      </c>
      <c r="B232" s="8">
        <v>456.35</v>
      </c>
      <c r="C232" s="15">
        <f>'Ratio Analysis'!$F$23</f>
        <v>8176.3313609467459</v>
      </c>
      <c r="D232" s="28">
        <f t="shared" si="3"/>
        <v>5.5813540309740915E-2</v>
      </c>
    </row>
    <row r="233" spans="1:4" ht="15.6" x14ac:dyDescent="0.3">
      <c r="A233" s="8" t="s">
        <v>500</v>
      </c>
      <c r="B233" s="8">
        <v>454.25</v>
      </c>
      <c r="C233" s="15">
        <f>'Ratio Analysis'!$F$23</f>
        <v>8176.3313609467459</v>
      </c>
      <c r="D233" s="28">
        <f t="shared" si="3"/>
        <v>5.555670140396584E-2</v>
      </c>
    </row>
    <row r="234" spans="1:4" ht="15.6" x14ac:dyDescent="0.3">
      <c r="A234" s="8" t="s">
        <v>501</v>
      </c>
      <c r="B234" s="8">
        <v>436.4</v>
      </c>
      <c r="C234" s="15">
        <f>'Ratio Analysis'!$F$23</f>
        <v>8176.3313609467459</v>
      </c>
      <c r="D234" s="28">
        <f t="shared" si="3"/>
        <v>5.3373570704877693E-2</v>
      </c>
    </row>
    <row r="235" spans="1:4" ht="15.6" x14ac:dyDescent="0.3">
      <c r="A235" s="8" t="s">
        <v>502</v>
      </c>
      <c r="B235" s="8">
        <v>435.35</v>
      </c>
      <c r="C235" s="15">
        <f>'Ratio Analysis'!$F$23</f>
        <v>8176.3313609467459</v>
      </c>
      <c r="D235" s="28">
        <f t="shared" si="3"/>
        <v>5.3245151251990155E-2</v>
      </c>
    </row>
    <row r="236" spans="1:4" ht="15.6" x14ac:dyDescent="0.3">
      <c r="A236" s="8" t="s">
        <v>503</v>
      </c>
      <c r="B236" s="8">
        <v>430</v>
      </c>
      <c r="C236" s="15">
        <f>'Ratio Analysis'!$F$23</f>
        <v>8176.3313609467459</v>
      </c>
      <c r="D236" s="28">
        <f t="shared" si="3"/>
        <v>5.2590823563467941E-2</v>
      </c>
    </row>
    <row r="237" spans="1:4" ht="15.6" x14ac:dyDescent="0.3">
      <c r="A237" s="59">
        <v>45994</v>
      </c>
      <c r="B237" s="8">
        <v>427.65</v>
      </c>
      <c r="C237" s="15">
        <f>'Ratio Analysis'!$F$23</f>
        <v>8176.3313609467459</v>
      </c>
      <c r="D237" s="28">
        <f t="shared" si="3"/>
        <v>5.2303408597481539E-2</v>
      </c>
    </row>
    <row r="238" spans="1:4" ht="15.6" x14ac:dyDescent="0.3">
      <c r="A238" s="59">
        <v>45964</v>
      </c>
      <c r="B238" s="8">
        <v>427.4</v>
      </c>
      <c r="C238" s="15">
        <f>'Ratio Analysis'!$F$23</f>
        <v>8176.3313609467459</v>
      </c>
      <c r="D238" s="28">
        <f t="shared" si="3"/>
        <v>5.227283253727022E-2</v>
      </c>
    </row>
    <row r="239" spans="1:4" ht="15.6" x14ac:dyDescent="0.3">
      <c r="A239" s="59">
        <v>45933</v>
      </c>
      <c r="B239" s="8">
        <v>426.45</v>
      </c>
      <c r="C239" s="15">
        <f>'Ratio Analysis'!$F$23</f>
        <v>8176.3313609467459</v>
      </c>
      <c r="D239" s="28">
        <f t="shared" si="3"/>
        <v>5.2156643508467215E-2</v>
      </c>
    </row>
    <row r="240" spans="1:4" ht="15.6" x14ac:dyDescent="0.3">
      <c r="A240" s="59">
        <v>45841</v>
      </c>
      <c r="B240" s="8">
        <v>429.35</v>
      </c>
      <c r="C240" s="15">
        <f>'Ratio Analysis'!$F$23</f>
        <v>8176.3313609467459</v>
      </c>
      <c r="D240" s="28">
        <f t="shared" si="3"/>
        <v>5.2511325806918516E-2</v>
      </c>
    </row>
    <row r="241" spans="1:4" ht="15.6" x14ac:dyDescent="0.3">
      <c r="A241" s="59">
        <v>45811</v>
      </c>
      <c r="B241" s="8">
        <v>426.1</v>
      </c>
      <c r="C241" s="15">
        <f>'Ratio Analysis'!$F$23</f>
        <v>8176.3313609467459</v>
      </c>
      <c r="D241" s="28">
        <f t="shared" si="3"/>
        <v>5.2113837024171369E-2</v>
      </c>
    </row>
    <row r="242" spans="1:4" ht="15.6" x14ac:dyDescent="0.3">
      <c r="A242" s="59">
        <v>45780</v>
      </c>
      <c r="B242" s="8">
        <v>411.25</v>
      </c>
      <c r="C242" s="15">
        <f>'Ratio Analysis'!$F$23</f>
        <v>8176.3313609467459</v>
      </c>
      <c r="D242" s="28">
        <f t="shared" si="3"/>
        <v>5.0297619047619042E-2</v>
      </c>
    </row>
    <row r="243" spans="1:4" ht="15.6" x14ac:dyDescent="0.3">
      <c r="A243" s="59">
        <v>45750</v>
      </c>
      <c r="B243" s="8">
        <v>395.45</v>
      </c>
      <c r="C243" s="15">
        <f>'Ratio Analysis'!$F$23</f>
        <v>8176.3313609467459</v>
      </c>
      <c r="D243" s="28">
        <f t="shared" si="3"/>
        <v>4.8365212042263711E-2</v>
      </c>
    </row>
    <row r="244" spans="1:4" ht="15.6" x14ac:dyDescent="0.3">
      <c r="A244" s="59">
        <v>45719</v>
      </c>
      <c r="B244" s="8">
        <v>387.45</v>
      </c>
      <c r="C244" s="15">
        <f>'Ratio Analysis'!$F$23</f>
        <v>8176.3313609467459</v>
      </c>
      <c r="D244" s="28">
        <f t="shared" si="3"/>
        <v>4.7386778115501516E-2</v>
      </c>
    </row>
    <row r="245" spans="1:4" ht="15.6" x14ac:dyDescent="0.3">
      <c r="A245" s="8" t="s">
        <v>504</v>
      </c>
      <c r="B245" s="8">
        <v>390.8</v>
      </c>
      <c r="C245" s="15">
        <f>'Ratio Analysis'!$F$23</f>
        <v>8176.3313609467459</v>
      </c>
      <c r="D245" s="28">
        <f t="shared" si="3"/>
        <v>4.7796497322333188E-2</v>
      </c>
    </row>
    <row r="246" spans="1:4" ht="15.6" x14ac:dyDescent="0.3">
      <c r="A246" s="8" t="s">
        <v>505</v>
      </c>
      <c r="B246" s="8">
        <v>411.75</v>
      </c>
      <c r="C246" s="15">
        <f>'Ratio Analysis'!$F$23</f>
        <v>8176.3313609467459</v>
      </c>
      <c r="D246" s="28">
        <f t="shared" si="3"/>
        <v>5.0358771168041681E-2</v>
      </c>
    </row>
    <row r="247" spans="1:4" ht="15.6" x14ac:dyDescent="0.3">
      <c r="A247" s="8" t="s">
        <v>506</v>
      </c>
      <c r="B247" s="8">
        <v>407.25</v>
      </c>
      <c r="C247" s="15">
        <f>'Ratio Analysis'!$F$23</f>
        <v>8176.3313609467459</v>
      </c>
      <c r="D247" s="28">
        <f t="shared" si="3"/>
        <v>4.9808402084237952E-2</v>
      </c>
    </row>
    <row r="248" spans="1:4" ht="15.6" x14ac:dyDescent="0.3">
      <c r="A248" s="8" t="s">
        <v>507</v>
      </c>
      <c r="B248" s="8">
        <v>415.65</v>
      </c>
      <c r="C248" s="15">
        <f>'Ratio Analysis'!$F$23</f>
        <v>8176.3313609467459</v>
      </c>
      <c r="D248" s="28">
        <f t="shared" si="3"/>
        <v>5.0835757707338253E-2</v>
      </c>
    </row>
    <row r="249" spans="1:4" ht="15.6" x14ac:dyDescent="0.3">
      <c r="A249" s="8" t="s">
        <v>508</v>
      </c>
      <c r="B249" s="8">
        <v>426.65</v>
      </c>
      <c r="C249" s="15">
        <f>'Ratio Analysis'!$F$23</f>
        <v>8176.3313609467459</v>
      </c>
      <c r="D249" s="28">
        <f t="shared" si="3"/>
        <v>5.2181104356636268E-2</v>
      </c>
    </row>
    <row r="250" spans="1:4" ht="15.6" x14ac:dyDescent="0.3">
      <c r="A250" s="8" t="s">
        <v>509</v>
      </c>
      <c r="B250" s="8">
        <v>422.85</v>
      </c>
      <c r="C250" s="15">
        <f>'Ratio Analysis'!$F$23</f>
        <v>8176.3313609467459</v>
      </c>
      <c r="D250" s="28">
        <f t="shared" si="3"/>
        <v>5.171634824142423E-2</v>
      </c>
    </row>
    <row r="251" spans="1:4" ht="15.6" x14ac:dyDescent="0.3">
      <c r="A251" s="8" t="s">
        <v>510</v>
      </c>
      <c r="B251" s="8">
        <v>413.45</v>
      </c>
      <c r="C251" s="15">
        <f>'Ratio Analysis'!$F$23</f>
        <v>8176.3313609467459</v>
      </c>
      <c r="D251" s="28">
        <f t="shared" si="3"/>
        <v>5.0566688377478644E-2</v>
      </c>
    </row>
    <row r="252" spans="1:4" ht="15.6" x14ac:dyDescent="0.3">
      <c r="A252" s="8" t="s">
        <v>511</v>
      </c>
      <c r="B252" s="8">
        <v>409.05</v>
      </c>
      <c r="C252" s="15">
        <f>'Ratio Analysis'!$F$23</f>
        <v>8176.3313609467459</v>
      </c>
      <c r="D252" s="28">
        <f t="shared" si="3"/>
        <v>5.0028549717759441E-2</v>
      </c>
    </row>
    <row r="253" spans="1:4" ht="15.6" x14ac:dyDescent="0.3">
      <c r="A253" s="8" t="s">
        <v>512</v>
      </c>
      <c r="B253" s="8">
        <v>415.55</v>
      </c>
      <c r="C253" s="15">
        <f>'Ratio Analysis'!$F$23</f>
        <v>8176.3313609467459</v>
      </c>
      <c r="D253" s="28">
        <f t="shared" si="3"/>
        <v>5.0823527283253726E-2</v>
      </c>
    </row>
    <row r="254" spans="1:4" ht="15.6" x14ac:dyDescent="0.3">
      <c r="A254" s="8" t="s">
        <v>513</v>
      </c>
      <c r="B254" s="8">
        <v>416.55</v>
      </c>
      <c r="C254" s="15">
        <f>'Ratio Analysis'!$F$23</f>
        <v>8176.3313609467459</v>
      </c>
      <c r="D254" s="28">
        <f t="shared" si="3"/>
        <v>5.0945831524098997E-2</v>
      </c>
    </row>
    <row r="255" spans="1:4" ht="15.6" x14ac:dyDescent="0.3">
      <c r="A255" s="8" t="s">
        <v>514</v>
      </c>
      <c r="B255" s="8">
        <v>411.8</v>
      </c>
      <c r="C255" s="15">
        <f>'Ratio Analysis'!$F$23</f>
        <v>8176.3313609467459</v>
      </c>
      <c r="D255" s="28">
        <f t="shared" si="3"/>
        <v>5.0364886380083948E-2</v>
      </c>
    </row>
    <row r="256" spans="1:4" ht="15.6" x14ac:dyDescent="0.3">
      <c r="A256" s="59">
        <v>45993</v>
      </c>
      <c r="B256" s="8">
        <v>420.35</v>
      </c>
      <c r="C256" s="15">
        <f>'Ratio Analysis'!$F$23</f>
        <v>8176.3313609467459</v>
      </c>
      <c r="D256" s="28">
        <f t="shared" si="3"/>
        <v>5.1410587639311042E-2</v>
      </c>
    </row>
    <row r="257" spans="1:4" ht="15.6" x14ac:dyDescent="0.3">
      <c r="A257" s="59">
        <v>45963</v>
      </c>
      <c r="B257" s="8">
        <v>416.85</v>
      </c>
      <c r="C257" s="15">
        <f>'Ratio Analysis'!$F$23</f>
        <v>8176.3313609467459</v>
      </c>
      <c r="D257" s="28">
        <f t="shared" si="3"/>
        <v>5.0982522796352583E-2</v>
      </c>
    </row>
    <row r="258" spans="1:4" ht="15.6" x14ac:dyDescent="0.3">
      <c r="A258" s="59">
        <v>45932</v>
      </c>
      <c r="B258" s="8">
        <v>435.65</v>
      </c>
      <c r="C258" s="15">
        <f>'Ratio Analysis'!$F$23</f>
        <v>8176.3313609467459</v>
      </c>
      <c r="D258" s="28">
        <f t="shared" si="3"/>
        <v>5.3281842524243735E-2</v>
      </c>
    </row>
    <row r="259" spans="1:4" ht="15.6" x14ac:dyDescent="0.3">
      <c r="A259" s="59">
        <v>45840</v>
      </c>
      <c r="B259" s="8">
        <v>440.35</v>
      </c>
      <c r="C259" s="15">
        <f>'Ratio Analysis'!$F$23</f>
        <v>8176.3313609467459</v>
      </c>
      <c r="D259" s="28">
        <f t="shared" si="3"/>
        <v>5.3856672456216531E-2</v>
      </c>
    </row>
    <row r="260" spans="1:4" ht="15.6" x14ac:dyDescent="0.3">
      <c r="A260" s="59">
        <v>45810</v>
      </c>
      <c r="B260" s="8">
        <v>442.9</v>
      </c>
      <c r="C260" s="15">
        <f>'Ratio Analysis'!$F$23</f>
        <v>8176.3313609467459</v>
      </c>
      <c r="D260" s="28">
        <f t="shared" si="3"/>
        <v>5.4168548270371972E-2</v>
      </c>
    </row>
    <row r="261" spans="1:4" ht="15.6" x14ac:dyDescent="0.3">
      <c r="A261" s="59">
        <v>45779</v>
      </c>
      <c r="B261" s="8">
        <v>467.45</v>
      </c>
      <c r="C261" s="15">
        <f>'Ratio Analysis'!$F$23</f>
        <v>8176.3313609467459</v>
      </c>
      <c r="D261" s="28">
        <f t="shared" si="3"/>
        <v>5.7171117383123457E-2</v>
      </c>
    </row>
    <row r="262" spans="1:4" ht="15.6" x14ac:dyDescent="0.3">
      <c r="A262" s="59">
        <v>45749</v>
      </c>
      <c r="B262" s="8">
        <v>436.9</v>
      </c>
      <c r="C262" s="15">
        <f>'Ratio Analysis'!$F$23</f>
        <v>8176.3313609467459</v>
      </c>
      <c r="D262" s="28">
        <f t="shared" si="3"/>
        <v>5.3434722825300325E-2</v>
      </c>
    </row>
    <row r="263" spans="1:4" ht="15.6" x14ac:dyDescent="0.3">
      <c r="A263" s="59">
        <v>45718</v>
      </c>
      <c r="B263" s="8">
        <v>432.55</v>
      </c>
      <c r="C263" s="15">
        <f>'Ratio Analysis'!$F$23</f>
        <v>8176.3313609467459</v>
      </c>
      <c r="D263" s="28">
        <f t="shared" ref="D263:D326" si="4">B263/C263</f>
        <v>5.2902699377623388E-2</v>
      </c>
    </row>
    <row r="264" spans="1:4" ht="15.6" x14ac:dyDescent="0.3">
      <c r="A264" s="59">
        <v>45659</v>
      </c>
      <c r="B264" s="8">
        <v>446</v>
      </c>
      <c r="C264" s="15">
        <f>'Ratio Analysis'!$F$23</f>
        <v>8176.3313609467459</v>
      </c>
      <c r="D264" s="28">
        <f t="shared" si="4"/>
        <v>5.4547691416992325E-2</v>
      </c>
    </row>
    <row r="265" spans="1:4" ht="15.6" x14ac:dyDescent="0.3">
      <c r="A265" s="8" t="s">
        <v>515</v>
      </c>
      <c r="B265" s="8">
        <v>450.15</v>
      </c>
      <c r="C265" s="15">
        <f>'Ratio Analysis'!$F$23</f>
        <v>8176.3313609467459</v>
      </c>
      <c r="D265" s="28">
        <f t="shared" si="4"/>
        <v>5.5055254016500209E-2</v>
      </c>
    </row>
    <row r="266" spans="1:4" ht="15.6" x14ac:dyDescent="0.3">
      <c r="A266" s="8" t="s">
        <v>516</v>
      </c>
      <c r="B266" s="8">
        <v>441.35</v>
      </c>
      <c r="C266" s="15">
        <f>'Ratio Analysis'!$F$23</f>
        <v>8176.3313609467459</v>
      </c>
      <c r="D266" s="28">
        <f t="shared" si="4"/>
        <v>5.3978976697061802E-2</v>
      </c>
    </row>
    <row r="267" spans="1:4" ht="15.6" x14ac:dyDescent="0.3">
      <c r="A267" s="8" t="s">
        <v>517</v>
      </c>
      <c r="B267" s="8">
        <v>438.3</v>
      </c>
      <c r="C267" s="15">
        <f>'Ratio Analysis'!$F$23</f>
        <v>8176.3313609467459</v>
      </c>
      <c r="D267" s="28">
        <f t="shared" si="4"/>
        <v>5.3605948762483716E-2</v>
      </c>
    </row>
    <row r="268" spans="1:4" ht="15.6" x14ac:dyDescent="0.3">
      <c r="A268" s="8" t="s">
        <v>518</v>
      </c>
      <c r="B268" s="8">
        <v>433.2</v>
      </c>
      <c r="C268" s="15">
        <f>'Ratio Analysis'!$F$23</f>
        <v>8176.3313609467459</v>
      </c>
      <c r="D268" s="28">
        <f t="shared" si="4"/>
        <v>5.2982197134172813E-2</v>
      </c>
    </row>
    <row r="269" spans="1:4" ht="15.6" x14ac:dyDescent="0.3">
      <c r="A269" s="8" t="s">
        <v>519</v>
      </c>
      <c r="B269" s="8">
        <v>450.85</v>
      </c>
      <c r="C269" s="15">
        <f>'Ratio Analysis'!$F$23</f>
        <v>8176.3313609467459</v>
      </c>
      <c r="D269" s="28">
        <f t="shared" si="4"/>
        <v>5.5140866985091908E-2</v>
      </c>
    </row>
    <row r="270" spans="1:4" ht="15.6" x14ac:dyDescent="0.3">
      <c r="A270" s="8" t="s">
        <v>520</v>
      </c>
      <c r="B270" s="8">
        <v>466.55</v>
      </c>
      <c r="C270" s="15">
        <f>'Ratio Analysis'!$F$23</f>
        <v>8176.3313609467459</v>
      </c>
      <c r="D270" s="28">
        <f t="shared" si="4"/>
        <v>5.7061043566362712E-2</v>
      </c>
    </row>
    <row r="271" spans="1:4" ht="15.6" x14ac:dyDescent="0.3">
      <c r="A271" s="8" t="s">
        <v>521</v>
      </c>
      <c r="B271" s="8">
        <v>474.1</v>
      </c>
      <c r="C271" s="15">
        <f>'Ratio Analysis'!$F$23</f>
        <v>8176.3313609467459</v>
      </c>
      <c r="D271" s="28">
        <f t="shared" si="4"/>
        <v>5.7984440584744536E-2</v>
      </c>
    </row>
    <row r="272" spans="1:4" ht="15.6" x14ac:dyDescent="0.3">
      <c r="A272" s="8" t="s">
        <v>522</v>
      </c>
      <c r="B272" s="8">
        <v>469.35</v>
      </c>
      <c r="C272" s="15">
        <f>'Ratio Analysis'!$F$23</f>
        <v>8176.3313609467459</v>
      </c>
      <c r="D272" s="28">
        <f t="shared" si="4"/>
        <v>5.7403495440729486E-2</v>
      </c>
    </row>
    <row r="273" spans="1:4" ht="15.6" x14ac:dyDescent="0.3">
      <c r="A273" s="8" t="s">
        <v>523</v>
      </c>
      <c r="B273" s="8">
        <v>461</v>
      </c>
      <c r="C273" s="15">
        <f>'Ratio Analysis'!$F$23</f>
        <v>8176.3313609467459</v>
      </c>
      <c r="D273" s="28">
        <f t="shared" si="4"/>
        <v>5.6382255029671438E-2</v>
      </c>
    </row>
    <row r="274" spans="1:4" ht="15.6" x14ac:dyDescent="0.3">
      <c r="A274" s="8" t="s">
        <v>524</v>
      </c>
      <c r="B274" s="8">
        <v>465.5</v>
      </c>
      <c r="C274" s="15">
        <f>'Ratio Analysis'!$F$23</f>
        <v>8176.3313609467459</v>
      </c>
      <c r="D274" s="28">
        <f t="shared" si="4"/>
        <v>5.6932624113475175E-2</v>
      </c>
    </row>
    <row r="275" spans="1:4" ht="15.6" x14ac:dyDescent="0.3">
      <c r="A275" s="8" t="s">
        <v>525</v>
      </c>
      <c r="B275" s="8">
        <v>456.85</v>
      </c>
      <c r="C275" s="15">
        <f>'Ratio Analysis'!$F$23</f>
        <v>8176.3313609467459</v>
      </c>
      <c r="D275" s="28">
        <f t="shared" si="4"/>
        <v>5.5874692430163554E-2</v>
      </c>
    </row>
    <row r="276" spans="1:4" ht="15.6" x14ac:dyDescent="0.3">
      <c r="A276" s="8" t="s">
        <v>526</v>
      </c>
      <c r="B276" s="8">
        <v>455.4</v>
      </c>
      <c r="C276" s="15">
        <f>'Ratio Analysis'!$F$23</f>
        <v>8176.3313609467459</v>
      </c>
      <c r="D276" s="28">
        <f t="shared" si="4"/>
        <v>5.5697351280937904E-2</v>
      </c>
    </row>
    <row r="277" spans="1:4" ht="15.6" x14ac:dyDescent="0.3">
      <c r="A277" s="8" t="s">
        <v>527</v>
      </c>
      <c r="B277" s="8">
        <v>442.05</v>
      </c>
      <c r="C277" s="15">
        <f>'Ratio Analysis'!$F$23</f>
        <v>8176.3313609467459</v>
      </c>
      <c r="D277" s="28">
        <f t="shared" si="4"/>
        <v>5.4064589665653494E-2</v>
      </c>
    </row>
    <row r="278" spans="1:4" ht="15.6" x14ac:dyDescent="0.3">
      <c r="A278" s="8" t="s">
        <v>528</v>
      </c>
      <c r="B278" s="8">
        <v>436.05</v>
      </c>
      <c r="C278" s="15">
        <f>'Ratio Analysis'!$F$23</f>
        <v>8176.3313609467459</v>
      </c>
      <c r="D278" s="28">
        <f t="shared" si="4"/>
        <v>5.3330764220581847E-2</v>
      </c>
    </row>
    <row r="279" spans="1:4" ht="15.6" x14ac:dyDescent="0.3">
      <c r="A279" s="8" t="s">
        <v>529</v>
      </c>
      <c r="B279" s="8">
        <v>419.4</v>
      </c>
      <c r="C279" s="15">
        <f>'Ratio Analysis'!$F$23</f>
        <v>8176.3313609467459</v>
      </c>
      <c r="D279" s="28">
        <f t="shared" si="4"/>
        <v>5.1294398610508031E-2</v>
      </c>
    </row>
    <row r="280" spans="1:4" ht="15.6" x14ac:dyDescent="0.3">
      <c r="A280" s="59">
        <v>45931</v>
      </c>
      <c r="B280" s="8">
        <v>433.35</v>
      </c>
      <c r="C280" s="15">
        <f>'Ratio Analysis'!$F$23</f>
        <v>8176.3313609467459</v>
      </c>
      <c r="D280" s="28">
        <f t="shared" si="4"/>
        <v>5.3000542770299607E-2</v>
      </c>
    </row>
    <row r="281" spans="1:4" ht="15.6" x14ac:dyDescent="0.3">
      <c r="A281" s="59">
        <v>45901</v>
      </c>
      <c r="B281" s="8">
        <v>437.7</v>
      </c>
      <c r="C281" s="15">
        <f>'Ratio Analysis'!$F$23</f>
        <v>8176.3313609467459</v>
      </c>
      <c r="D281" s="28">
        <f t="shared" si="4"/>
        <v>5.353256621797655E-2</v>
      </c>
    </row>
    <row r="282" spans="1:4" ht="15.6" x14ac:dyDescent="0.3">
      <c r="A282" s="59">
        <v>45870</v>
      </c>
      <c r="B282" s="8">
        <v>443.8</v>
      </c>
      <c r="C282" s="15">
        <f>'Ratio Analysis'!$F$23</f>
        <v>8176.3313609467459</v>
      </c>
      <c r="D282" s="28">
        <f t="shared" si="4"/>
        <v>5.4278622087132723E-2</v>
      </c>
    </row>
    <row r="283" spans="1:4" ht="15.6" x14ac:dyDescent="0.3">
      <c r="A283" s="59">
        <v>45839</v>
      </c>
      <c r="B283" s="8">
        <v>448.55</v>
      </c>
      <c r="C283" s="15">
        <f>'Ratio Analysis'!$F$23</f>
        <v>8176.3313609467459</v>
      </c>
      <c r="D283" s="28">
        <f t="shared" si="4"/>
        <v>5.4859567231147779E-2</v>
      </c>
    </row>
    <row r="284" spans="1:4" ht="15.6" x14ac:dyDescent="0.3">
      <c r="A284" s="59">
        <v>45809</v>
      </c>
      <c r="B284" s="8">
        <v>446.8</v>
      </c>
      <c r="C284" s="15">
        <f>'Ratio Analysis'!$F$23</f>
        <v>8176.3313609467459</v>
      </c>
      <c r="D284" s="28">
        <f t="shared" si="4"/>
        <v>5.464553480966855E-2</v>
      </c>
    </row>
    <row r="285" spans="1:4" ht="15.6" x14ac:dyDescent="0.3">
      <c r="A285" s="59">
        <v>45717</v>
      </c>
      <c r="B285" s="8">
        <v>469.15</v>
      </c>
      <c r="C285" s="15">
        <f>'Ratio Analysis'!$F$23</f>
        <v>8176.3313609467459</v>
      </c>
      <c r="D285" s="28">
        <f t="shared" si="4"/>
        <v>5.737903459256042E-2</v>
      </c>
    </row>
    <row r="286" spans="1:4" ht="15.6" x14ac:dyDescent="0.3">
      <c r="A286" s="59">
        <v>45689</v>
      </c>
      <c r="B286" s="8">
        <v>452.5</v>
      </c>
      <c r="C286" s="15">
        <f>'Ratio Analysis'!$F$23</f>
        <v>8176.3313609467459</v>
      </c>
      <c r="D286" s="28">
        <f t="shared" si="4"/>
        <v>5.5342668982486611E-2</v>
      </c>
    </row>
    <row r="287" spans="1:4" ht="15.6" x14ac:dyDescent="0.3">
      <c r="A287" s="59">
        <v>45658</v>
      </c>
      <c r="B287" s="8">
        <v>444.05</v>
      </c>
      <c r="C287" s="15">
        <f>'Ratio Analysis'!$F$23</f>
        <v>8176.3313609467459</v>
      </c>
      <c r="D287" s="28">
        <f t="shared" si="4"/>
        <v>5.4309198147344043E-2</v>
      </c>
    </row>
    <row r="288" spans="1:4" ht="15.6" x14ac:dyDescent="0.3">
      <c r="A288" s="8" t="s">
        <v>530</v>
      </c>
      <c r="B288" s="8">
        <v>444</v>
      </c>
      <c r="C288" s="15">
        <f>'Ratio Analysis'!$F$23</f>
        <v>8176.3313609467459</v>
      </c>
      <c r="D288" s="28">
        <f t="shared" si="4"/>
        <v>5.4303082935301776E-2</v>
      </c>
    </row>
    <row r="289" spans="1:4" ht="15.6" x14ac:dyDescent="0.3">
      <c r="A289" s="8" t="s">
        <v>531</v>
      </c>
      <c r="B289" s="8">
        <v>432.4</v>
      </c>
      <c r="C289" s="15">
        <f>'Ratio Analysis'!$F$23</f>
        <v>8176.3313609467459</v>
      </c>
      <c r="D289" s="28">
        <f t="shared" si="4"/>
        <v>5.2884353741496595E-2</v>
      </c>
    </row>
    <row r="290" spans="1:4" ht="15.6" x14ac:dyDescent="0.3">
      <c r="A290" s="8" t="s">
        <v>532</v>
      </c>
      <c r="B290" s="8">
        <v>454.7</v>
      </c>
      <c r="C290" s="15">
        <f>'Ratio Analysis'!$F$23</f>
        <v>8176.3313609467459</v>
      </c>
      <c r="D290" s="28">
        <f t="shared" si="4"/>
        <v>5.5611738312346212E-2</v>
      </c>
    </row>
    <row r="291" spans="1:4" ht="15.6" x14ac:dyDescent="0.3">
      <c r="A291" s="8" t="s">
        <v>533</v>
      </c>
      <c r="B291" s="8">
        <v>453.25</v>
      </c>
      <c r="C291" s="15">
        <f>'Ratio Analysis'!$F$23</f>
        <v>8176.3313609467459</v>
      </c>
      <c r="D291" s="28">
        <f t="shared" si="4"/>
        <v>5.5434397163120562E-2</v>
      </c>
    </row>
    <row r="292" spans="1:4" ht="15.6" x14ac:dyDescent="0.3">
      <c r="A292" s="8" t="s">
        <v>534</v>
      </c>
      <c r="B292" s="8">
        <v>463.4</v>
      </c>
      <c r="C292" s="15">
        <f>'Ratio Analysis'!$F$23</f>
        <v>8176.3313609467459</v>
      </c>
      <c r="D292" s="28">
        <f t="shared" si="4"/>
        <v>5.66757852077001E-2</v>
      </c>
    </row>
    <row r="293" spans="1:4" ht="15.6" x14ac:dyDescent="0.3">
      <c r="A293" s="8" t="s">
        <v>535</v>
      </c>
      <c r="B293" s="8">
        <v>463.9</v>
      </c>
      <c r="C293" s="15">
        <f>'Ratio Analysis'!$F$23</f>
        <v>8176.3313609467459</v>
      </c>
      <c r="D293" s="28">
        <f t="shared" si="4"/>
        <v>5.6736937328122732E-2</v>
      </c>
    </row>
    <row r="294" spans="1:4" ht="15.6" x14ac:dyDescent="0.3">
      <c r="A294" s="8" t="s">
        <v>536</v>
      </c>
      <c r="B294" s="8">
        <v>468.8</v>
      </c>
      <c r="C294" s="15">
        <f>'Ratio Analysis'!$F$23</f>
        <v>8176.3313609467459</v>
      </c>
      <c r="D294" s="28">
        <f t="shared" si="4"/>
        <v>5.7336228108264581E-2</v>
      </c>
    </row>
    <row r="295" spans="1:4" ht="15.6" x14ac:dyDescent="0.3">
      <c r="A295" s="8" t="s">
        <v>537</v>
      </c>
      <c r="B295" s="8">
        <v>479.35</v>
      </c>
      <c r="C295" s="15">
        <f>'Ratio Analysis'!$F$23</f>
        <v>8176.3313609467459</v>
      </c>
      <c r="D295" s="28">
        <f t="shared" si="4"/>
        <v>5.8626537849182224E-2</v>
      </c>
    </row>
    <row r="296" spans="1:4" ht="15.6" x14ac:dyDescent="0.3">
      <c r="A296" s="8" t="s">
        <v>538</v>
      </c>
      <c r="B296" s="8">
        <v>485.35</v>
      </c>
      <c r="C296" s="15">
        <f>'Ratio Analysis'!$F$23</f>
        <v>8176.3313609467459</v>
      </c>
      <c r="D296" s="28">
        <f t="shared" si="4"/>
        <v>5.9360363294253871E-2</v>
      </c>
    </row>
    <row r="297" spans="1:4" ht="15.6" x14ac:dyDescent="0.3">
      <c r="A297" s="8" t="s">
        <v>539</v>
      </c>
      <c r="B297" s="8">
        <v>490.65</v>
      </c>
      <c r="C297" s="15">
        <f>'Ratio Analysis'!$F$23</f>
        <v>8176.3313609467459</v>
      </c>
      <c r="D297" s="28">
        <f t="shared" si="4"/>
        <v>6.0008575770733819E-2</v>
      </c>
    </row>
    <row r="298" spans="1:4" ht="15.6" x14ac:dyDescent="0.3">
      <c r="A298" s="8" t="s">
        <v>540</v>
      </c>
      <c r="B298" s="8">
        <v>498.25</v>
      </c>
      <c r="C298" s="15">
        <f>'Ratio Analysis'!$F$23</f>
        <v>8176.3313609467459</v>
      </c>
      <c r="D298" s="28">
        <f t="shared" si="4"/>
        <v>6.0938088001157908E-2</v>
      </c>
    </row>
    <row r="299" spans="1:4" ht="15.6" x14ac:dyDescent="0.3">
      <c r="A299" s="8" t="s">
        <v>541</v>
      </c>
      <c r="B299" s="8">
        <v>500.35</v>
      </c>
      <c r="C299" s="15">
        <f>'Ratio Analysis'!$F$23</f>
        <v>8176.3313609467459</v>
      </c>
      <c r="D299" s="28">
        <f t="shared" si="4"/>
        <v>6.1194926906932984E-2</v>
      </c>
    </row>
    <row r="300" spans="1:4" ht="15.6" x14ac:dyDescent="0.3">
      <c r="A300" s="59">
        <v>45638</v>
      </c>
      <c r="B300" s="8">
        <v>501.55</v>
      </c>
      <c r="C300" s="15">
        <f>'Ratio Analysis'!$F$23</f>
        <v>8176.3313609467459</v>
      </c>
      <c r="D300" s="28">
        <f t="shared" si="4"/>
        <v>6.1341691995947314E-2</v>
      </c>
    </row>
    <row r="301" spans="1:4" ht="15.6" x14ac:dyDescent="0.3">
      <c r="A301" s="59">
        <v>45608</v>
      </c>
      <c r="B301" s="8">
        <v>509.15</v>
      </c>
      <c r="C301" s="15">
        <f>'Ratio Analysis'!$F$23</f>
        <v>8176.3313609467459</v>
      </c>
      <c r="D301" s="28">
        <f t="shared" si="4"/>
        <v>6.2271204226371397E-2</v>
      </c>
    </row>
    <row r="302" spans="1:4" ht="15.6" x14ac:dyDescent="0.3">
      <c r="A302" s="59">
        <v>45577</v>
      </c>
      <c r="B302" s="8">
        <v>498.45</v>
      </c>
      <c r="C302" s="15">
        <f>'Ratio Analysis'!$F$23</f>
        <v>8176.3313609467459</v>
      </c>
      <c r="D302" s="28">
        <f t="shared" si="4"/>
        <v>6.0962548849326961E-2</v>
      </c>
    </row>
    <row r="303" spans="1:4" ht="15.6" x14ac:dyDescent="0.3">
      <c r="A303" s="59">
        <v>45547</v>
      </c>
      <c r="B303" s="8">
        <v>506.5</v>
      </c>
      <c r="C303" s="15">
        <f>'Ratio Analysis'!$F$23</f>
        <v>8176.3313609467459</v>
      </c>
      <c r="D303" s="28">
        <f t="shared" si="4"/>
        <v>6.1947097988131423E-2</v>
      </c>
    </row>
    <row r="304" spans="1:4" ht="15.6" x14ac:dyDescent="0.3">
      <c r="A304" s="59">
        <v>45455</v>
      </c>
      <c r="B304" s="8">
        <v>510</v>
      </c>
      <c r="C304" s="15">
        <f>'Ratio Analysis'!$F$23</f>
        <v>8176.3313609467459</v>
      </c>
      <c r="D304" s="28">
        <f t="shared" si="4"/>
        <v>6.2375162831089882E-2</v>
      </c>
    </row>
    <row r="305" spans="1:4" ht="15.6" x14ac:dyDescent="0.3">
      <c r="A305" s="59">
        <v>45424</v>
      </c>
      <c r="B305" s="8">
        <v>500.6</v>
      </c>
      <c r="C305" s="15">
        <f>'Ratio Analysis'!$F$23</f>
        <v>8176.3313609467459</v>
      </c>
      <c r="D305" s="28">
        <f t="shared" si="4"/>
        <v>6.1225502967144303E-2</v>
      </c>
    </row>
    <row r="306" spans="1:4" ht="15.6" x14ac:dyDescent="0.3">
      <c r="A306" s="59">
        <v>45394</v>
      </c>
      <c r="B306" s="8">
        <v>506.95</v>
      </c>
      <c r="C306" s="15">
        <f>'Ratio Analysis'!$F$23</f>
        <v>8176.3313609467459</v>
      </c>
      <c r="D306" s="28">
        <f t="shared" si="4"/>
        <v>6.2002134896511789E-2</v>
      </c>
    </row>
    <row r="307" spans="1:4" ht="15.6" x14ac:dyDescent="0.3">
      <c r="A307" s="59">
        <v>45363</v>
      </c>
      <c r="B307" s="8">
        <v>507.15</v>
      </c>
      <c r="C307" s="15">
        <f>'Ratio Analysis'!$F$23</f>
        <v>8176.3313609467459</v>
      </c>
      <c r="D307" s="28">
        <f t="shared" si="4"/>
        <v>6.2026595744680849E-2</v>
      </c>
    </row>
    <row r="308" spans="1:4" ht="15.6" x14ac:dyDescent="0.3">
      <c r="A308" s="59">
        <v>45334</v>
      </c>
      <c r="B308" s="8">
        <v>502.85</v>
      </c>
      <c r="C308" s="15">
        <f>'Ratio Analysis'!$F$23</f>
        <v>8176.3313609467459</v>
      </c>
      <c r="D308" s="28">
        <f t="shared" si="4"/>
        <v>6.1500687509046172E-2</v>
      </c>
    </row>
    <row r="309" spans="1:4" ht="15.6" x14ac:dyDescent="0.3">
      <c r="A309" s="8" t="s">
        <v>542</v>
      </c>
      <c r="B309" s="8">
        <v>504.6</v>
      </c>
      <c r="C309" s="15">
        <f>'Ratio Analysis'!$F$23</f>
        <v>8176.3313609467459</v>
      </c>
      <c r="D309" s="28">
        <f t="shared" si="4"/>
        <v>6.1714719930525401E-2</v>
      </c>
    </row>
    <row r="310" spans="1:4" ht="15.6" x14ac:dyDescent="0.3">
      <c r="A310" s="8" t="s">
        <v>543</v>
      </c>
      <c r="B310" s="8">
        <v>494.05</v>
      </c>
      <c r="C310" s="15">
        <f>'Ratio Analysis'!$F$23</f>
        <v>8176.3313609467459</v>
      </c>
      <c r="D310" s="28">
        <f t="shared" si="4"/>
        <v>6.0424410189607758E-2</v>
      </c>
    </row>
    <row r="311" spans="1:4" ht="15.6" x14ac:dyDescent="0.3">
      <c r="A311" s="8" t="s">
        <v>544</v>
      </c>
      <c r="B311" s="8">
        <v>499.95</v>
      </c>
      <c r="C311" s="15">
        <f>'Ratio Analysis'!$F$23</f>
        <v>8176.3313609467459</v>
      </c>
      <c r="D311" s="28">
        <f t="shared" si="4"/>
        <v>6.1146005210594871E-2</v>
      </c>
    </row>
    <row r="312" spans="1:4" ht="15.6" x14ac:dyDescent="0.3">
      <c r="A312" s="8" t="s">
        <v>545</v>
      </c>
      <c r="B312" s="8">
        <v>494.45</v>
      </c>
      <c r="C312" s="15">
        <f>'Ratio Analysis'!$F$23</f>
        <v>8176.3313609467459</v>
      </c>
      <c r="D312" s="28">
        <f t="shared" si="4"/>
        <v>6.0473331885945864E-2</v>
      </c>
    </row>
    <row r="313" spans="1:4" ht="15.6" x14ac:dyDescent="0.3">
      <c r="A313" s="8" t="s">
        <v>546</v>
      </c>
      <c r="B313" s="8">
        <v>498.5</v>
      </c>
      <c r="C313" s="15">
        <f>'Ratio Analysis'!$F$23</f>
        <v>8176.3313609467459</v>
      </c>
      <c r="D313" s="28">
        <f t="shared" si="4"/>
        <v>6.0968664061369228E-2</v>
      </c>
    </row>
    <row r="314" spans="1:4" ht="15.6" x14ac:dyDescent="0.3">
      <c r="A314" s="8" t="s">
        <v>547</v>
      </c>
      <c r="B314" s="8">
        <v>489.25</v>
      </c>
      <c r="C314" s="15">
        <f>'Ratio Analysis'!$F$23</f>
        <v>8176.3313609467459</v>
      </c>
      <c r="D314" s="28">
        <f t="shared" si="4"/>
        <v>5.9837349833550442E-2</v>
      </c>
    </row>
    <row r="315" spans="1:4" ht="15.6" x14ac:dyDescent="0.3">
      <c r="A315" s="8" t="s">
        <v>548</v>
      </c>
      <c r="B315" s="8">
        <v>487.05</v>
      </c>
      <c r="C315" s="15">
        <f>'Ratio Analysis'!$F$23</f>
        <v>8176.3313609467459</v>
      </c>
      <c r="D315" s="28">
        <f t="shared" si="4"/>
        <v>5.956828050369084E-2</v>
      </c>
    </row>
    <row r="316" spans="1:4" ht="15.6" x14ac:dyDescent="0.3">
      <c r="A316" s="8" t="s">
        <v>549</v>
      </c>
      <c r="B316" s="8">
        <v>492.15</v>
      </c>
      <c r="C316" s="15">
        <f>'Ratio Analysis'!$F$23</f>
        <v>8176.3313609467459</v>
      </c>
      <c r="D316" s="28">
        <f t="shared" si="4"/>
        <v>6.0192032132001728E-2</v>
      </c>
    </row>
    <row r="317" spans="1:4" ht="15.6" x14ac:dyDescent="0.3">
      <c r="A317" s="8" t="s">
        <v>550</v>
      </c>
      <c r="B317" s="8">
        <v>496.35</v>
      </c>
      <c r="C317" s="15">
        <f>'Ratio Analysis'!$F$23</f>
        <v>8176.3313609467459</v>
      </c>
      <c r="D317" s="28">
        <f t="shared" si="4"/>
        <v>6.0705709943551886E-2</v>
      </c>
    </row>
    <row r="318" spans="1:4" ht="15.6" x14ac:dyDescent="0.3">
      <c r="A318" s="8" t="s">
        <v>551</v>
      </c>
      <c r="B318" s="8">
        <v>495.35</v>
      </c>
      <c r="C318" s="15">
        <f>'Ratio Analysis'!$F$23</f>
        <v>8176.3313609467459</v>
      </c>
      <c r="D318" s="28">
        <f t="shared" si="4"/>
        <v>6.0583405702706615E-2</v>
      </c>
    </row>
    <row r="319" spans="1:4" ht="15.6" x14ac:dyDescent="0.3">
      <c r="A319" s="8" t="s">
        <v>552</v>
      </c>
      <c r="B319" s="8">
        <v>485.7</v>
      </c>
      <c r="C319" s="15">
        <f>'Ratio Analysis'!$F$23</f>
        <v>8176.3313609467459</v>
      </c>
      <c r="D319" s="28">
        <f t="shared" si="4"/>
        <v>5.9403169778549716E-2</v>
      </c>
    </row>
    <row r="320" spans="1:4" ht="15.6" x14ac:dyDescent="0.3">
      <c r="A320" s="59">
        <v>45637</v>
      </c>
      <c r="B320" s="8">
        <v>500.7</v>
      </c>
      <c r="C320" s="15">
        <f>'Ratio Analysis'!$F$23</f>
        <v>8176.3313609467459</v>
      </c>
      <c r="D320" s="28">
        <f t="shared" si="4"/>
        <v>6.123773339122883E-2</v>
      </c>
    </row>
    <row r="321" spans="1:4" ht="15.6" x14ac:dyDescent="0.3">
      <c r="A321" s="59">
        <v>45607</v>
      </c>
      <c r="B321" s="8">
        <v>506.1</v>
      </c>
      <c r="C321" s="15">
        <f>'Ratio Analysis'!$F$23</f>
        <v>8176.3313609467459</v>
      </c>
      <c r="D321" s="28">
        <f t="shared" si="4"/>
        <v>6.1898176291793311E-2</v>
      </c>
    </row>
    <row r="322" spans="1:4" ht="15.6" x14ac:dyDescent="0.3">
      <c r="A322" s="59">
        <v>45515</v>
      </c>
      <c r="B322" s="8">
        <v>506.25</v>
      </c>
      <c r="C322" s="15">
        <f>'Ratio Analysis'!$F$23</f>
        <v>8176.3313609467459</v>
      </c>
      <c r="D322" s="28">
        <f t="shared" si="4"/>
        <v>6.1916521927920104E-2</v>
      </c>
    </row>
    <row r="323" spans="1:4" ht="15.6" x14ac:dyDescent="0.3">
      <c r="A323" s="59">
        <v>45484</v>
      </c>
      <c r="B323" s="8">
        <v>507.6</v>
      </c>
      <c r="C323" s="15">
        <f>'Ratio Analysis'!$F$23</f>
        <v>8176.3313609467459</v>
      </c>
      <c r="D323" s="28">
        <f t="shared" si="4"/>
        <v>6.2081632653061228E-2</v>
      </c>
    </row>
    <row r="324" spans="1:4" ht="15.6" x14ac:dyDescent="0.3">
      <c r="A324" s="59">
        <v>45454</v>
      </c>
      <c r="B324" s="8">
        <v>513.1</v>
      </c>
      <c r="C324" s="15">
        <f>'Ratio Analysis'!$F$23</f>
        <v>8176.3313609467459</v>
      </c>
      <c r="D324" s="28">
        <f t="shared" si="4"/>
        <v>6.2754305977710229E-2</v>
      </c>
    </row>
    <row r="325" spans="1:4" ht="15.6" x14ac:dyDescent="0.3">
      <c r="A325" s="59">
        <v>45423</v>
      </c>
      <c r="B325" s="8">
        <v>559.65</v>
      </c>
      <c r="C325" s="15">
        <f>'Ratio Analysis'!$F$23</f>
        <v>8176.3313609467459</v>
      </c>
      <c r="D325" s="28">
        <f t="shared" si="4"/>
        <v>6.8447568389057745E-2</v>
      </c>
    </row>
    <row r="326" spans="1:4" ht="15.6" x14ac:dyDescent="0.3">
      <c r="A326" s="59">
        <v>45393</v>
      </c>
      <c r="B326" s="8">
        <v>543.79999999999995</v>
      </c>
      <c r="C326" s="15">
        <f>'Ratio Analysis'!$F$23</f>
        <v>8176.3313609467459</v>
      </c>
      <c r="D326" s="28">
        <f t="shared" si="4"/>
        <v>6.6509046171660147E-2</v>
      </c>
    </row>
    <row r="327" spans="1:4" ht="15.6" x14ac:dyDescent="0.3">
      <c r="A327" s="59">
        <v>45302</v>
      </c>
      <c r="B327" s="8">
        <v>558.25</v>
      </c>
      <c r="C327" s="15">
        <f>'Ratio Analysis'!$F$23</f>
        <v>8176.3313609467459</v>
      </c>
      <c r="D327" s="28">
        <f t="shared" ref="D327:D390" si="5">B327/C327</f>
        <v>6.8276342451874361E-2</v>
      </c>
    </row>
    <row r="328" spans="1:4" ht="15.6" x14ac:dyDescent="0.3">
      <c r="A328" s="8" t="s">
        <v>553</v>
      </c>
      <c r="B328" s="8">
        <v>553.20000000000005</v>
      </c>
      <c r="C328" s="15">
        <f>'Ratio Analysis'!$F$23</f>
        <v>8176.3313609467459</v>
      </c>
      <c r="D328" s="28">
        <f t="shared" si="5"/>
        <v>6.765870603560574E-2</v>
      </c>
    </row>
    <row r="329" spans="1:4" ht="15.6" x14ac:dyDescent="0.3">
      <c r="A329" s="8" t="s">
        <v>554</v>
      </c>
      <c r="B329" s="8">
        <v>560.4</v>
      </c>
      <c r="C329" s="15">
        <f>'Ratio Analysis'!$F$23</f>
        <v>8176.3313609467459</v>
      </c>
      <c r="D329" s="28">
        <f t="shared" si="5"/>
        <v>6.8539296569691696E-2</v>
      </c>
    </row>
    <row r="330" spans="1:4" ht="15.6" x14ac:dyDescent="0.3">
      <c r="A330" s="8" t="s">
        <v>555</v>
      </c>
      <c r="B330" s="8">
        <v>550.15</v>
      </c>
      <c r="C330" s="15">
        <f>'Ratio Analysis'!$F$23</f>
        <v>8176.3313609467459</v>
      </c>
      <c r="D330" s="28">
        <f t="shared" si="5"/>
        <v>6.7285678101027646E-2</v>
      </c>
    </row>
    <row r="331" spans="1:4" ht="15.6" x14ac:dyDescent="0.3">
      <c r="A331" s="8" t="s">
        <v>556</v>
      </c>
      <c r="B331" s="8">
        <v>526.65</v>
      </c>
      <c r="C331" s="15">
        <f>'Ratio Analysis'!$F$23</f>
        <v>8176.3313609467459</v>
      </c>
      <c r="D331" s="28">
        <f t="shared" si="5"/>
        <v>6.4411528441163698E-2</v>
      </c>
    </row>
    <row r="332" spans="1:4" ht="15.6" x14ac:dyDescent="0.3">
      <c r="A332" s="8" t="s">
        <v>557</v>
      </c>
      <c r="B332" s="8">
        <v>510.05</v>
      </c>
      <c r="C332" s="15">
        <f>'Ratio Analysis'!$F$23</f>
        <v>8176.3313609467459</v>
      </c>
      <c r="D332" s="28">
        <f t="shared" si="5"/>
        <v>6.2381278043132142E-2</v>
      </c>
    </row>
    <row r="333" spans="1:4" ht="15.6" x14ac:dyDescent="0.3">
      <c r="A333" s="8" t="s">
        <v>558</v>
      </c>
      <c r="B333" s="8">
        <v>539.5</v>
      </c>
      <c r="C333" s="15">
        <f>'Ratio Analysis'!$F$23</f>
        <v>8176.3313609467459</v>
      </c>
      <c r="D333" s="28">
        <f t="shared" si="5"/>
        <v>6.5983137936025477E-2</v>
      </c>
    </row>
    <row r="334" spans="1:4" ht="15.6" x14ac:dyDescent="0.3">
      <c r="A334" s="8" t="s">
        <v>559</v>
      </c>
      <c r="B334" s="8">
        <v>523.70000000000005</v>
      </c>
      <c r="C334" s="15">
        <f>'Ratio Analysis'!$F$23</f>
        <v>8176.3313609467459</v>
      </c>
      <c r="D334" s="28">
        <f t="shared" si="5"/>
        <v>6.4050730930670138E-2</v>
      </c>
    </row>
    <row r="335" spans="1:4" ht="15.6" x14ac:dyDescent="0.3">
      <c r="A335" s="8" t="s">
        <v>560</v>
      </c>
      <c r="B335" s="8">
        <v>513.6</v>
      </c>
      <c r="C335" s="15">
        <f>'Ratio Analysis'!$F$23</f>
        <v>8176.3313609467459</v>
      </c>
      <c r="D335" s="28">
        <f t="shared" si="5"/>
        <v>6.2815458098132868E-2</v>
      </c>
    </row>
    <row r="336" spans="1:4" ht="15.6" x14ac:dyDescent="0.3">
      <c r="A336" s="8" t="s">
        <v>561</v>
      </c>
      <c r="B336" s="8">
        <v>501.75</v>
      </c>
      <c r="C336" s="15">
        <f>'Ratio Analysis'!$F$23</f>
        <v>8176.3313609467459</v>
      </c>
      <c r="D336" s="28">
        <f t="shared" si="5"/>
        <v>6.1366152844116367E-2</v>
      </c>
    </row>
    <row r="337" spans="1:4" ht="15.6" x14ac:dyDescent="0.3">
      <c r="A337" s="8" t="s">
        <v>562</v>
      </c>
      <c r="B337" s="8">
        <v>506.5</v>
      </c>
      <c r="C337" s="15">
        <f>'Ratio Analysis'!$F$23</f>
        <v>8176.3313609467459</v>
      </c>
      <c r="D337" s="28">
        <f t="shared" si="5"/>
        <v>6.1947097988131423E-2</v>
      </c>
    </row>
    <row r="338" spans="1:4" ht="15.6" x14ac:dyDescent="0.3">
      <c r="A338" s="8" t="s">
        <v>563</v>
      </c>
      <c r="B338" s="8">
        <v>508.2</v>
      </c>
      <c r="C338" s="15">
        <f>'Ratio Analysis'!$F$23</f>
        <v>8176.3313609467459</v>
      </c>
      <c r="D338" s="28">
        <f t="shared" si="5"/>
        <v>6.2155015197568386E-2</v>
      </c>
    </row>
    <row r="339" spans="1:4" ht="15.6" x14ac:dyDescent="0.3">
      <c r="A339" s="8" t="s">
        <v>564</v>
      </c>
      <c r="B339" s="8">
        <v>510.4</v>
      </c>
      <c r="C339" s="15">
        <f>'Ratio Analysis'!$F$23</f>
        <v>8176.3313609467459</v>
      </c>
      <c r="D339" s="28">
        <f t="shared" si="5"/>
        <v>6.2424084527427988E-2</v>
      </c>
    </row>
    <row r="340" spans="1:4" ht="15.6" x14ac:dyDescent="0.3">
      <c r="A340" s="8" t="s">
        <v>565</v>
      </c>
      <c r="B340" s="8">
        <v>514.4</v>
      </c>
      <c r="C340" s="15">
        <f>'Ratio Analysis'!$F$23</f>
        <v>8176.3313609467459</v>
      </c>
      <c r="D340" s="28">
        <f t="shared" si="5"/>
        <v>6.2913301490809079E-2</v>
      </c>
    </row>
    <row r="341" spans="1:4" ht="15.6" x14ac:dyDescent="0.3">
      <c r="A341" s="8" t="s">
        <v>566</v>
      </c>
      <c r="B341" s="8">
        <v>520.20000000000005</v>
      </c>
      <c r="C341" s="15">
        <f>'Ratio Analysis'!$F$23</f>
        <v>8176.3313609467459</v>
      </c>
      <c r="D341" s="28">
        <f t="shared" si="5"/>
        <v>6.362266608771168E-2</v>
      </c>
    </row>
    <row r="342" spans="1:4" ht="15.6" x14ac:dyDescent="0.3">
      <c r="A342" s="59">
        <v>45606</v>
      </c>
      <c r="B342" s="8">
        <v>504.15</v>
      </c>
      <c r="C342" s="15">
        <f>'Ratio Analysis'!$F$23</f>
        <v>8176.3313609467459</v>
      </c>
      <c r="D342" s="28">
        <f t="shared" si="5"/>
        <v>6.1659683022145022E-2</v>
      </c>
    </row>
    <row r="343" spans="1:4" ht="15.6" x14ac:dyDescent="0.3">
      <c r="A343" s="59">
        <v>45575</v>
      </c>
      <c r="B343" s="8">
        <v>508.8</v>
      </c>
      <c r="C343" s="15">
        <f>'Ratio Analysis'!$F$23</f>
        <v>8176.3313609467459</v>
      </c>
      <c r="D343" s="28">
        <f t="shared" si="5"/>
        <v>6.2228397742075552E-2</v>
      </c>
    </row>
    <row r="344" spans="1:4" ht="15.6" x14ac:dyDescent="0.3">
      <c r="A344" s="59">
        <v>45545</v>
      </c>
      <c r="B344" s="8">
        <v>505.45</v>
      </c>
      <c r="C344" s="15">
        <f>'Ratio Analysis'!$F$23</f>
        <v>8176.3313609467459</v>
      </c>
      <c r="D344" s="28">
        <f t="shared" si="5"/>
        <v>6.1818678535243879E-2</v>
      </c>
    </row>
    <row r="345" spans="1:4" ht="15.6" x14ac:dyDescent="0.3">
      <c r="A345" s="59">
        <v>45514</v>
      </c>
      <c r="B345" s="8">
        <v>510.8</v>
      </c>
      <c r="C345" s="15">
        <f>'Ratio Analysis'!$F$23</f>
        <v>8176.3313609467459</v>
      </c>
      <c r="D345" s="28">
        <f t="shared" si="5"/>
        <v>6.24730062237661E-2</v>
      </c>
    </row>
    <row r="346" spans="1:4" ht="15.6" x14ac:dyDescent="0.3">
      <c r="A346" s="59">
        <v>45483</v>
      </c>
      <c r="B346" s="8">
        <v>495.4</v>
      </c>
      <c r="C346" s="15">
        <f>'Ratio Analysis'!$F$23</f>
        <v>8176.3313609467459</v>
      </c>
      <c r="D346" s="28">
        <f t="shared" si="5"/>
        <v>6.0589520914748875E-2</v>
      </c>
    </row>
    <row r="347" spans="1:4" ht="15.6" x14ac:dyDescent="0.3">
      <c r="A347" s="59">
        <v>45392</v>
      </c>
      <c r="B347" s="8">
        <v>517.25</v>
      </c>
      <c r="C347" s="15">
        <f>'Ratio Analysis'!$F$23</f>
        <v>8176.3313609467459</v>
      </c>
      <c r="D347" s="28">
        <f t="shared" si="5"/>
        <v>6.3261868577218119E-2</v>
      </c>
    </row>
    <row r="348" spans="1:4" ht="15.6" x14ac:dyDescent="0.3">
      <c r="A348" s="59">
        <v>45361</v>
      </c>
      <c r="B348" s="8">
        <v>522.9</v>
      </c>
      <c r="C348" s="15">
        <f>'Ratio Analysis'!$F$23</f>
        <v>8176.3313609467459</v>
      </c>
      <c r="D348" s="28">
        <f t="shared" si="5"/>
        <v>6.3952887537993913E-2</v>
      </c>
    </row>
    <row r="349" spans="1:4" ht="15.6" x14ac:dyDescent="0.3">
      <c r="A349" s="59">
        <v>45301</v>
      </c>
      <c r="B349" s="8">
        <v>519.9</v>
      </c>
      <c r="C349" s="15">
        <f>'Ratio Analysis'!$F$23</f>
        <v>8176.3313609467459</v>
      </c>
      <c r="D349" s="28">
        <f t="shared" si="5"/>
        <v>6.3585974815458093E-2</v>
      </c>
    </row>
    <row r="350" spans="1:4" ht="15.6" x14ac:dyDescent="0.3">
      <c r="A350" s="8" t="s">
        <v>567</v>
      </c>
      <c r="B350" s="8">
        <v>522.5</v>
      </c>
      <c r="C350" s="15">
        <f>'Ratio Analysis'!$F$23</f>
        <v>8176.3313609467459</v>
      </c>
      <c r="D350" s="28">
        <f t="shared" si="5"/>
        <v>6.3903965841655808E-2</v>
      </c>
    </row>
    <row r="351" spans="1:4" ht="15.6" x14ac:dyDescent="0.3">
      <c r="A351" s="8" t="s">
        <v>568</v>
      </c>
      <c r="B351" s="8">
        <v>523.04999999999995</v>
      </c>
      <c r="C351" s="15">
        <f>'Ratio Analysis'!$F$23</f>
        <v>8176.3313609467459</v>
      </c>
      <c r="D351" s="28">
        <f t="shared" si="5"/>
        <v>6.3971233174120706E-2</v>
      </c>
    </row>
    <row r="352" spans="1:4" ht="15.6" x14ac:dyDescent="0.3">
      <c r="A352" s="8" t="s">
        <v>569</v>
      </c>
      <c r="B352" s="8">
        <v>517</v>
      </c>
      <c r="C352" s="15">
        <f>'Ratio Analysis'!$F$23</f>
        <v>8176.3313609467459</v>
      </c>
      <c r="D352" s="28">
        <f t="shared" si="5"/>
        <v>6.3231292517006807E-2</v>
      </c>
    </row>
    <row r="353" spans="1:4" ht="15.6" x14ac:dyDescent="0.3">
      <c r="A353" s="8" t="s">
        <v>570</v>
      </c>
      <c r="B353" s="8">
        <v>511.2</v>
      </c>
      <c r="C353" s="15">
        <f>'Ratio Analysis'!$F$23</f>
        <v>8176.3313609467459</v>
      </c>
      <c r="D353" s="28">
        <f t="shared" si="5"/>
        <v>6.2521927920104206E-2</v>
      </c>
    </row>
    <row r="354" spans="1:4" ht="15.6" x14ac:dyDescent="0.3">
      <c r="A354" s="8" t="s">
        <v>571</v>
      </c>
      <c r="B354" s="8">
        <v>507.6</v>
      </c>
      <c r="C354" s="15">
        <f>'Ratio Analysis'!$F$23</f>
        <v>8176.3313609467459</v>
      </c>
      <c r="D354" s="28">
        <f t="shared" si="5"/>
        <v>6.2081632653061228E-2</v>
      </c>
    </row>
    <row r="355" spans="1:4" ht="15.6" x14ac:dyDescent="0.3">
      <c r="A355" s="8" t="s">
        <v>572</v>
      </c>
      <c r="B355" s="8">
        <v>503.9</v>
      </c>
      <c r="C355" s="15">
        <f>'Ratio Analysis'!$F$23</f>
        <v>8176.3313609467459</v>
      </c>
      <c r="D355" s="28">
        <f t="shared" si="5"/>
        <v>6.1629106961933702E-2</v>
      </c>
    </row>
    <row r="356" spans="1:4" ht="15.6" x14ac:dyDescent="0.3">
      <c r="A356" s="8" t="s">
        <v>573</v>
      </c>
      <c r="B356" s="8">
        <v>500.7</v>
      </c>
      <c r="C356" s="15">
        <f>'Ratio Analysis'!$F$23</f>
        <v>8176.3313609467459</v>
      </c>
      <c r="D356" s="28">
        <f t="shared" si="5"/>
        <v>6.123773339122883E-2</v>
      </c>
    </row>
    <row r="357" spans="1:4" ht="15.6" x14ac:dyDescent="0.3">
      <c r="A357" s="8" t="s">
        <v>574</v>
      </c>
      <c r="B357" s="8">
        <v>489.45</v>
      </c>
      <c r="C357" s="15">
        <f>'Ratio Analysis'!$F$23</f>
        <v>8176.3313609467459</v>
      </c>
      <c r="D357" s="28">
        <f t="shared" si="5"/>
        <v>5.9861810681719495E-2</v>
      </c>
    </row>
    <row r="358" spans="1:4" ht="15.6" x14ac:dyDescent="0.3">
      <c r="A358" s="8" t="s">
        <v>575</v>
      </c>
      <c r="B358" s="8">
        <v>485</v>
      </c>
      <c r="C358" s="15">
        <f>'Ratio Analysis'!$F$23</f>
        <v>8176.3313609467459</v>
      </c>
      <c r="D358" s="28">
        <f t="shared" si="5"/>
        <v>5.9317556809958025E-2</v>
      </c>
    </row>
    <row r="359" spans="1:4" ht="15.6" x14ac:dyDescent="0.3">
      <c r="A359" s="8" t="s">
        <v>576</v>
      </c>
      <c r="B359" s="8">
        <v>490.9</v>
      </c>
      <c r="C359" s="15">
        <f>'Ratio Analysis'!$F$23</f>
        <v>8176.3313609467459</v>
      </c>
      <c r="D359" s="28">
        <f t="shared" si="5"/>
        <v>6.0039151830945138E-2</v>
      </c>
    </row>
    <row r="360" spans="1:4" ht="15.6" x14ac:dyDescent="0.3">
      <c r="A360" s="8" t="s">
        <v>577</v>
      </c>
      <c r="B360" s="8">
        <v>496.45</v>
      </c>
      <c r="C360" s="15">
        <f>'Ratio Analysis'!$F$23</f>
        <v>8176.3313609467459</v>
      </c>
      <c r="D360" s="28">
        <f t="shared" si="5"/>
        <v>6.0717940367636412E-2</v>
      </c>
    </row>
    <row r="361" spans="1:4" ht="15.6" x14ac:dyDescent="0.3">
      <c r="A361" s="8" t="s">
        <v>578</v>
      </c>
      <c r="B361" s="8">
        <v>496.6</v>
      </c>
      <c r="C361" s="15">
        <f>'Ratio Analysis'!$F$23</f>
        <v>8176.3313609467459</v>
      </c>
      <c r="D361" s="28">
        <f t="shared" si="5"/>
        <v>6.0736286003763205E-2</v>
      </c>
    </row>
    <row r="362" spans="1:4" ht="15.6" x14ac:dyDescent="0.3">
      <c r="A362" s="59">
        <v>45635</v>
      </c>
      <c r="B362" s="8">
        <v>489.8</v>
      </c>
      <c r="C362" s="15">
        <f>'Ratio Analysis'!$F$23</f>
        <v>8176.3313609467459</v>
      </c>
      <c r="D362" s="28">
        <f t="shared" si="5"/>
        <v>5.9904617166015341E-2</v>
      </c>
    </row>
    <row r="363" spans="1:4" ht="15.6" x14ac:dyDescent="0.3">
      <c r="A363" s="59">
        <v>45605</v>
      </c>
      <c r="B363" s="8">
        <v>476.55</v>
      </c>
      <c r="C363" s="15">
        <f>'Ratio Analysis'!$F$23</f>
        <v>8176.3313609467459</v>
      </c>
      <c r="D363" s="28">
        <f t="shared" si="5"/>
        <v>5.8284085974815457E-2</v>
      </c>
    </row>
    <row r="364" spans="1:4" ht="15.6" x14ac:dyDescent="0.3">
      <c r="A364" s="59">
        <v>45574</v>
      </c>
      <c r="B364" s="8">
        <v>486.9</v>
      </c>
      <c r="C364" s="15">
        <f>'Ratio Analysis'!$F$23</f>
        <v>8176.3313609467459</v>
      </c>
      <c r="D364" s="28">
        <f t="shared" si="5"/>
        <v>5.954993486756404E-2</v>
      </c>
    </row>
    <row r="365" spans="1:4" ht="15.6" x14ac:dyDescent="0.3">
      <c r="A365" s="59">
        <v>45544</v>
      </c>
      <c r="B365" s="8">
        <v>480.1</v>
      </c>
      <c r="C365" s="15">
        <f>'Ratio Analysis'!$F$23</f>
        <v>8176.3313609467459</v>
      </c>
      <c r="D365" s="28">
        <f t="shared" si="5"/>
        <v>5.8718266029816182E-2</v>
      </c>
    </row>
    <row r="366" spans="1:4" ht="15.6" x14ac:dyDescent="0.3">
      <c r="A366" s="59">
        <v>45452</v>
      </c>
      <c r="B366" s="8">
        <v>486.85</v>
      </c>
      <c r="C366" s="15">
        <f>'Ratio Analysis'!$F$23</f>
        <v>8176.3313609467459</v>
      </c>
      <c r="D366" s="28">
        <f t="shared" si="5"/>
        <v>5.9543819655521781E-2</v>
      </c>
    </row>
    <row r="367" spans="1:4" ht="15.6" x14ac:dyDescent="0.3">
      <c r="A367" s="59">
        <v>45421</v>
      </c>
      <c r="B367" s="8">
        <v>495.7</v>
      </c>
      <c r="C367" s="15">
        <f>'Ratio Analysis'!$F$23</f>
        <v>8176.3313609467459</v>
      </c>
      <c r="D367" s="28">
        <f t="shared" si="5"/>
        <v>6.0626212187002454E-2</v>
      </c>
    </row>
    <row r="368" spans="1:4" ht="15.6" x14ac:dyDescent="0.3">
      <c r="A368" s="59">
        <v>45391</v>
      </c>
      <c r="B368" s="8">
        <v>485.9</v>
      </c>
      <c r="C368" s="15">
        <f>'Ratio Analysis'!$F$23</f>
        <v>8176.3313609467459</v>
      </c>
      <c r="D368" s="28">
        <f t="shared" si="5"/>
        <v>5.9427630626718769E-2</v>
      </c>
    </row>
    <row r="369" spans="1:4" ht="15.6" x14ac:dyDescent="0.3">
      <c r="A369" s="59">
        <v>45360</v>
      </c>
      <c r="B369" s="8">
        <v>492.55</v>
      </c>
      <c r="C369" s="15">
        <f>'Ratio Analysis'!$F$23</f>
        <v>8176.3313609467459</v>
      </c>
      <c r="D369" s="28">
        <f t="shared" si="5"/>
        <v>6.0240953828339848E-2</v>
      </c>
    </row>
    <row r="370" spans="1:4" ht="15.6" x14ac:dyDescent="0.3">
      <c r="A370" s="59">
        <v>45331</v>
      </c>
      <c r="B370" s="8">
        <v>493.85</v>
      </c>
      <c r="C370" s="15">
        <f>'Ratio Analysis'!$F$23</f>
        <v>8176.3313609467459</v>
      </c>
      <c r="D370" s="28">
        <f t="shared" si="5"/>
        <v>6.0399949341438705E-2</v>
      </c>
    </row>
    <row r="371" spans="1:4" ht="15.6" x14ac:dyDescent="0.3">
      <c r="A371" s="8" t="s">
        <v>579</v>
      </c>
      <c r="B371" s="8">
        <v>500.75</v>
      </c>
      <c r="C371" s="15">
        <f>'Ratio Analysis'!$F$23</f>
        <v>8176.3313609467459</v>
      </c>
      <c r="D371" s="28">
        <f t="shared" si="5"/>
        <v>6.1243848603271096E-2</v>
      </c>
    </row>
    <row r="372" spans="1:4" ht="15.6" x14ac:dyDescent="0.3">
      <c r="A372" s="8" t="s">
        <v>580</v>
      </c>
      <c r="B372" s="8">
        <v>496.5</v>
      </c>
      <c r="C372" s="15">
        <f>'Ratio Analysis'!$F$23</f>
        <v>8176.3313609467459</v>
      </c>
      <c r="D372" s="28">
        <f t="shared" si="5"/>
        <v>6.0724055579678679E-2</v>
      </c>
    </row>
    <row r="373" spans="1:4" ht="15.6" x14ac:dyDescent="0.3">
      <c r="A373" s="8" t="s">
        <v>581</v>
      </c>
      <c r="B373" s="8">
        <v>511.25</v>
      </c>
      <c r="C373" s="15">
        <f>'Ratio Analysis'!$F$23</f>
        <v>8176.3313609467459</v>
      </c>
      <c r="D373" s="28">
        <f t="shared" si="5"/>
        <v>6.252804313214648E-2</v>
      </c>
    </row>
    <row r="374" spans="1:4" ht="15.6" x14ac:dyDescent="0.3">
      <c r="A374" s="8" t="s">
        <v>582</v>
      </c>
      <c r="B374" s="8">
        <v>532.35</v>
      </c>
      <c r="C374" s="15">
        <f>'Ratio Analysis'!$F$23</f>
        <v>8176.3313609467459</v>
      </c>
      <c r="D374" s="28">
        <f t="shared" si="5"/>
        <v>6.5108662613981766E-2</v>
      </c>
    </row>
    <row r="375" spans="1:4" ht="15.6" x14ac:dyDescent="0.3">
      <c r="A375" s="8" t="s">
        <v>583</v>
      </c>
      <c r="B375" s="8">
        <v>528.1</v>
      </c>
      <c r="C375" s="15">
        <f>'Ratio Analysis'!$F$23</f>
        <v>8176.3313609467459</v>
      </c>
      <c r="D375" s="28">
        <f t="shared" si="5"/>
        <v>6.4588869590389342E-2</v>
      </c>
    </row>
    <row r="376" spans="1:4" ht="15.6" x14ac:dyDescent="0.3">
      <c r="A376" s="8" t="s">
        <v>584</v>
      </c>
      <c r="B376" s="8">
        <v>513.79999999999995</v>
      </c>
      <c r="C376" s="15">
        <f>'Ratio Analysis'!$F$23</f>
        <v>8176.3313609467459</v>
      </c>
      <c r="D376" s="28">
        <f t="shared" si="5"/>
        <v>6.283991894630192E-2</v>
      </c>
    </row>
    <row r="377" spans="1:4" ht="15.6" x14ac:dyDescent="0.3">
      <c r="A377" s="8" t="s">
        <v>585</v>
      </c>
      <c r="B377" s="8">
        <v>518.65</v>
      </c>
      <c r="C377" s="15">
        <f>'Ratio Analysis'!$F$23</f>
        <v>8176.3313609467459</v>
      </c>
      <c r="D377" s="28">
        <f t="shared" si="5"/>
        <v>6.3433094514401503E-2</v>
      </c>
    </row>
    <row r="378" spans="1:4" ht="15.6" x14ac:dyDescent="0.3">
      <c r="A378" s="8" t="s">
        <v>586</v>
      </c>
      <c r="B378" s="8">
        <v>510.85</v>
      </c>
      <c r="C378" s="15">
        <f>'Ratio Analysis'!$F$23</f>
        <v>8176.3313609467459</v>
      </c>
      <c r="D378" s="28">
        <f t="shared" si="5"/>
        <v>6.2479121435808367E-2</v>
      </c>
    </row>
    <row r="379" spans="1:4" ht="15.6" x14ac:dyDescent="0.3">
      <c r="A379" s="8" t="s">
        <v>587</v>
      </c>
      <c r="B379" s="8">
        <v>512.6</v>
      </c>
      <c r="C379" s="15">
        <f>'Ratio Analysis'!$F$23</f>
        <v>8176.3313609467459</v>
      </c>
      <c r="D379" s="28">
        <f t="shared" si="5"/>
        <v>6.269315385728759E-2</v>
      </c>
    </row>
    <row r="380" spans="1:4" ht="15.6" x14ac:dyDescent="0.3">
      <c r="A380" s="8" t="s">
        <v>588</v>
      </c>
      <c r="B380" s="8">
        <v>495.7</v>
      </c>
      <c r="C380" s="15">
        <f>'Ratio Analysis'!$F$23</f>
        <v>8176.3313609467459</v>
      </c>
      <c r="D380" s="28">
        <f t="shared" si="5"/>
        <v>6.0626212187002454E-2</v>
      </c>
    </row>
    <row r="381" spans="1:4" ht="15.6" x14ac:dyDescent="0.3">
      <c r="A381" s="8" t="s">
        <v>589</v>
      </c>
      <c r="B381" s="8">
        <v>519.9</v>
      </c>
      <c r="C381" s="15">
        <f>'Ratio Analysis'!$F$23</f>
        <v>8176.3313609467459</v>
      </c>
      <c r="D381" s="28">
        <f t="shared" si="5"/>
        <v>6.3585974815458093E-2</v>
      </c>
    </row>
    <row r="382" spans="1:4" ht="15.6" x14ac:dyDescent="0.3">
      <c r="A382" s="8" t="s">
        <v>590</v>
      </c>
      <c r="B382" s="8">
        <v>571.75</v>
      </c>
      <c r="C382" s="15">
        <f>'Ratio Analysis'!$F$23</f>
        <v>8176.3313609467459</v>
      </c>
      <c r="D382" s="28">
        <f t="shared" si="5"/>
        <v>6.9927449703285571E-2</v>
      </c>
    </row>
    <row r="383" spans="1:4" ht="15.6" x14ac:dyDescent="0.3">
      <c r="A383" s="8" t="s">
        <v>591</v>
      </c>
      <c r="B383" s="8">
        <v>580</v>
      </c>
      <c r="C383" s="15">
        <f>'Ratio Analysis'!$F$23</f>
        <v>8176.3313609467459</v>
      </c>
      <c r="D383" s="28">
        <f t="shared" si="5"/>
        <v>7.0936459690259079E-2</v>
      </c>
    </row>
    <row r="384" spans="1:4" ht="15.6" x14ac:dyDescent="0.3">
      <c r="A384" s="59">
        <v>45634</v>
      </c>
      <c r="B384" s="8">
        <v>614.20000000000005</v>
      </c>
      <c r="C384" s="15">
        <f>'Ratio Analysis'!$F$23</f>
        <v>8176.3313609467459</v>
      </c>
      <c r="D384" s="28">
        <f t="shared" si="5"/>
        <v>7.511926472716747E-2</v>
      </c>
    </row>
    <row r="385" spans="1:4" ht="15.6" x14ac:dyDescent="0.3">
      <c r="A385" s="59">
        <v>45543</v>
      </c>
      <c r="B385" s="8">
        <v>594</v>
      </c>
      <c r="C385" s="15">
        <f>'Ratio Analysis'!$F$23</f>
        <v>8176.3313609467459</v>
      </c>
      <c r="D385" s="28">
        <f t="shared" si="5"/>
        <v>7.2648719062092915E-2</v>
      </c>
    </row>
    <row r="386" spans="1:4" ht="15.6" x14ac:dyDescent="0.3">
      <c r="A386" s="59">
        <v>45512</v>
      </c>
      <c r="B386" s="8">
        <v>599.95000000000005</v>
      </c>
      <c r="C386" s="15">
        <f>'Ratio Analysis'!$F$23</f>
        <v>8176.3313609467459</v>
      </c>
      <c r="D386" s="28">
        <f t="shared" si="5"/>
        <v>7.3376429295122308E-2</v>
      </c>
    </row>
    <row r="387" spans="1:4" ht="15.6" x14ac:dyDescent="0.3">
      <c r="A387" s="59">
        <v>45481</v>
      </c>
      <c r="B387" s="8">
        <v>595.35</v>
      </c>
      <c r="C387" s="15">
        <f>'Ratio Analysis'!$F$23</f>
        <v>8176.3313609467459</v>
      </c>
      <c r="D387" s="28">
        <f t="shared" si="5"/>
        <v>7.2813829787234038E-2</v>
      </c>
    </row>
    <row r="388" spans="1:4" ht="15.6" x14ac:dyDescent="0.3">
      <c r="A388" s="59">
        <v>45451</v>
      </c>
      <c r="B388" s="8">
        <v>608.70000000000005</v>
      </c>
      <c r="C388" s="15">
        <f>'Ratio Analysis'!$F$23</f>
        <v>8176.3313609467459</v>
      </c>
      <c r="D388" s="28">
        <f t="shared" si="5"/>
        <v>7.4446591402518456E-2</v>
      </c>
    </row>
    <row r="389" spans="1:4" ht="15.6" x14ac:dyDescent="0.3">
      <c r="A389" s="59">
        <v>45420</v>
      </c>
      <c r="B389" s="8">
        <v>617.15</v>
      </c>
      <c r="C389" s="15">
        <f>'Ratio Analysis'!$F$23</f>
        <v>8176.3313609467459</v>
      </c>
      <c r="D389" s="28">
        <f t="shared" si="5"/>
        <v>7.5480062237661016E-2</v>
      </c>
    </row>
    <row r="390" spans="1:4" ht="15.6" x14ac:dyDescent="0.3">
      <c r="A390" s="59">
        <v>45330</v>
      </c>
      <c r="B390" s="8">
        <v>651.79999999999995</v>
      </c>
      <c r="C390" s="15">
        <f>'Ratio Analysis'!$F$23</f>
        <v>8176.3313609467459</v>
      </c>
      <c r="D390" s="28">
        <f t="shared" si="5"/>
        <v>7.9717904182949773E-2</v>
      </c>
    </row>
    <row r="391" spans="1:4" ht="15.6" x14ac:dyDescent="0.3">
      <c r="A391" s="59">
        <v>45299</v>
      </c>
      <c r="B391" s="8">
        <v>647.6</v>
      </c>
      <c r="C391" s="15">
        <f>'Ratio Analysis'!$F$23</f>
        <v>8176.3313609467459</v>
      </c>
      <c r="D391" s="28">
        <f t="shared" ref="D391:D454" si="6">B391/C391</f>
        <v>7.9204226371399622E-2</v>
      </c>
    </row>
    <row r="392" spans="1:4" ht="15.6" x14ac:dyDescent="0.3">
      <c r="A392" s="8" t="s">
        <v>592</v>
      </c>
      <c r="B392" s="8">
        <v>646.85</v>
      </c>
      <c r="C392" s="15">
        <f>'Ratio Analysis'!$F$23</f>
        <v>8176.3313609467459</v>
      </c>
      <c r="D392" s="28">
        <f t="shared" si="6"/>
        <v>7.911249819076567E-2</v>
      </c>
    </row>
    <row r="393" spans="1:4" ht="15.6" x14ac:dyDescent="0.3">
      <c r="A393" s="8" t="s">
        <v>593</v>
      </c>
      <c r="B393" s="8">
        <v>641.5</v>
      </c>
      <c r="C393" s="15">
        <f>'Ratio Analysis'!$F$23</f>
        <v>8176.3313609467459</v>
      </c>
      <c r="D393" s="28">
        <f t="shared" si="6"/>
        <v>7.8458170502243449E-2</v>
      </c>
    </row>
    <row r="394" spans="1:4" ht="15.6" x14ac:dyDescent="0.3">
      <c r="A394" s="8" t="s">
        <v>594</v>
      </c>
      <c r="B394" s="8">
        <v>633.70000000000005</v>
      </c>
      <c r="C394" s="15">
        <f>'Ratio Analysis'!$F$23</f>
        <v>8176.3313609467459</v>
      </c>
      <c r="D394" s="28">
        <f t="shared" si="6"/>
        <v>7.750419742365032E-2</v>
      </c>
    </row>
    <row r="395" spans="1:4" ht="15.6" x14ac:dyDescent="0.3">
      <c r="A395" s="8" t="s">
        <v>595</v>
      </c>
      <c r="B395" s="8">
        <v>603.5</v>
      </c>
      <c r="C395" s="15">
        <f>'Ratio Analysis'!$F$23</f>
        <v>8176.3313609467459</v>
      </c>
      <c r="D395" s="28">
        <f t="shared" si="6"/>
        <v>7.3810609350123027E-2</v>
      </c>
    </row>
    <row r="396" spans="1:4" ht="15.6" x14ac:dyDescent="0.3">
      <c r="A396" s="8" t="s">
        <v>596</v>
      </c>
      <c r="B396" s="8">
        <v>611.45000000000005</v>
      </c>
      <c r="C396" s="15">
        <f>'Ratio Analysis'!$F$23</f>
        <v>8176.3313609467459</v>
      </c>
      <c r="D396" s="28">
        <f t="shared" si="6"/>
        <v>7.4782928064842963E-2</v>
      </c>
    </row>
    <row r="397" spans="1:4" ht="15.6" x14ac:dyDescent="0.3">
      <c r="A397" s="8" t="s">
        <v>597</v>
      </c>
      <c r="B397" s="8">
        <v>634.35</v>
      </c>
      <c r="C397" s="15">
        <f>'Ratio Analysis'!$F$23</f>
        <v>8176.3313609467459</v>
      </c>
      <c r="D397" s="28">
        <f t="shared" si="6"/>
        <v>7.7583695180199738E-2</v>
      </c>
    </row>
    <row r="398" spans="1:4" ht="15.6" x14ac:dyDescent="0.3">
      <c r="A398" s="8" t="s">
        <v>598</v>
      </c>
      <c r="B398" s="8">
        <v>622.45000000000005</v>
      </c>
      <c r="C398" s="15">
        <f>'Ratio Analysis'!$F$23</f>
        <v>8176.3313609467459</v>
      </c>
      <c r="D398" s="28">
        <f t="shared" si="6"/>
        <v>7.6128274714140978E-2</v>
      </c>
    </row>
    <row r="399" spans="1:4" ht="15.6" x14ac:dyDescent="0.3">
      <c r="A399" s="8" t="s">
        <v>599</v>
      </c>
      <c r="B399" s="8">
        <v>632</v>
      </c>
      <c r="C399" s="15">
        <f>'Ratio Analysis'!$F$23</f>
        <v>8176.3313609467459</v>
      </c>
      <c r="D399" s="28">
        <f t="shared" si="6"/>
        <v>7.7296280214213337E-2</v>
      </c>
    </row>
    <row r="400" spans="1:4" ht="15.6" x14ac:dyDescent="0.3">
      <c r="A400" s="8" t="s">
        <v>600</v>
      </c>
      <c r="B400" s="8">
        <v>641.75</v>
      </c>
      <c r="C400" s="15">
        <f>'Ratio Analysis'!$F$23</f>
        <v>8176.3313609467459</v>
      </c>
      <c r="D400" s="28">
        <f t="shared" si="6"/>
        <v>7.8488746562454761E-2</v>
      </c>
    </row>
    <row r="401" spans="1:4" ht="15.6" x14ac:dyDescent="0.3">
      <c r="A401" s="8" t="s">
        <v>601</v>
      </c>
      <c r="B401" s="8">
        <v>647.9</v>
      </c>
      <c r="C401" s="15">
        <f>'Ratio Analysis'!$F$23</f>
        <v>8176.3313609467459</v>
      </c>
      <c r="D401" s="28">
        <f t="shared" si="6"/>
        <v>7.9240917643653194E-2</v>
      </c>
    </row>
    <row r="402" spans="1:4" ht="15.6" x14ac:dyDescent="0.3">
      <c r="A402" s="8" t="s">
        <v>602</v>
      </c>
      <c r="B402" s="8">
        <v>662.1</v>
      </c>
      <c r="C402" s="15">
        <f>'Ratio Analysis'!$F$23</f>
        <v>8176.3313609467459</v>
      </c>
      <c r="D402" s="28">
        <f t="shared" si="6"/>
        <v>8.0977637863656096E-2</v>
      </c>
    </row>
    <row r="403" spans="1:4" ht="15.6" x14ac:dyDescent="0.3">
      <c r="A403" s="8" t="s">
        <v>603</v>
      </c>
      <c r="B403" s="8">
        <v>659.7</v>
      </c>
      <c r="C403" s="15">
        <f>'Ratio Analysis'!$F$23</f>
        <v>8176.3313609467459</v>
      </c>
      <c r="D403" s="28">
        <f t="shared" si="6"/>
        <v>8.0684107685627449E-2</v>
      </c>
    </row>
    <row r="404" spans="1:4" ht="15.6" x14ac:dyDescent="0.3">
      <c r="A404" s="59">
        <v>45633</v>
      </c>
      <c r="B404" s="8">
        <v>664.65</v>
      </c>
      <c r="C404" s="15">
        <f>'Ratio Analysis'!$F$23</f>
        <v>8176.3313609467459</v>
      </c>
      <c r="D404" s="28">
        <f t="shared" si="6"/>
        <v>8.1289513677811551E-2</v>
      </c>
    </row>
    <row r="405" spans="1:4" ht="15.6" x14ac:dyDescent="0.3">
      <c r="A405" s="59">
        <v>45603</v>
      </c>
      <c r="B405" s="8">
        <v>671.6</v>
      </c>
      <c r="C405" s="15">
        <f>'Ratio Analysis'!$F$23</f>
        <v>8176.3313609467459</v>
      </c>
      <c r="D405" s="28">
        <f t="shared" si="6"/>
        <v>8.2139528151686209E-2</v>
      </c>
    </row>
    <row r="406" spans="1:4" ht="15.6" x14ac:dyDescent="0.3">
      <c r="A406" s="59">
        <v>45572</v>
      </c>
      <c r="B406" s="8">
        <v>659.2</v>
      </c>
      <c r="C406" s="15">
        <f>'Ratio Analysis'!$F$23</f>
        <v>8176.3313609467459</v>
      </c>
      <c r="D406" s="28">
        <f t="shared" si="6"/>
        <v>8.062295556520481E-2</v>
      </c>
    </row>
    <row r="407" spans="1:4" ht="15.6" x14ac:dyDescent="0.3">
      <c r="A407" s="59">
        <v>45542</v>
      </c>
      <c r="B407" s="8">
        <v>673.15</v>
      </c>
      <c r="C407" s="15">
        <f>'Ratio Analysis'!$F$23</f>
        <v>8176.3313609467459</v>
      </c>
      <c r="D407" s="28">
        <f t="shared" si="6"/>
        <v>8.2329099724996371E-2</v>
      </c>
    </row>
    <row r="408" spans="1:4" ht="15.6" x14ac:dyDescent="0.3">
      <c r="A408" s="59">
        <v>45511</v>
      </c>
      <c r="B408" s="8">
        <v>686.15</v>
      </c>
      <c r="C408" s="15">
        <f>'Ratio Analysis'!$F$23</f>
        <v>8176.3313609467459</v>
      </c>
      <c r="D408" s="28">
        <f t="shared" si="6"/>
        <v>8.3919054855984943E-2</v>
      </c>
    </row>
    <row r="409" spans="1:4" ht="15.6" x14ac:dyDescent="0.3">
      <c r="A409" s="59">
        <v>45419</v>
      </c>
      <c r="B409" s="8">
        <v>693.15</v>
      </c>
      <c r="C409" s="15">
        <f>'Ratio Analysis'!$F$23</f>
        <v>8176.3313609467459</v>
      </c>
      <c r="D409" s="28">
        <f t="shared" si="6"/>
        <v>8.477518454190186E-2</v>
      </c>
    </row>
    <row r="410" spans="1:4" ht="15.6" x14ac:dyDescent="0.3">
      <c r="A410" s="59">
        <v>45389</v>
      </c>
      <c r="B410" s="8">
        <v>686.05</v>
      </c>
      <c r="C410" s="15">
        <f>'Ratio Analysis'!$F$23</f>
        <v>8176.3313609467459</v>
      </c>
      <c r="D410" s="28">
        <f t="shared" si="6"/>
        <v>8.3906824431900409E-2</v>
      </c>
    </row>
    <row r="411" spans="1:4" ht="15.6" x14ac:dyDescent="0.3">
      <c r="A411" s="59">
        <v>45358</v>
      </c>
      <c r="B411" s="8">
        <v>673.15</v>
      </c>
      <c r="C411" s="15">
        <f>'Ratio Analysis'!$F$23</f>
        <v>8176.3313609467459</v>
      </c>
      <c r="D411" s="28">
        <f t="shared" si="6"/>
        <v>8.2329099724996371E-2</v>
      </c>
    </row>
    <row r="412" spans="1:4" ht="15.6" x14ac:dyDescent="0.3">
      <c r="A412" s="59">
        <v>45329</v>
      </c>
      <c r="B412" s="8">
        <v>652.5</v>
      </c>
      <c r="C412" s="15">
        <f>'Ratio Analysis'!$F$23</f>
        <v>8176.3313609467459</v>
      </c>
      <c r="D412" s="28">
        <f t="shared" si="6"/>
        <v>7.9803517151541464E-2</v>
      </c>
    </row>
    <row r="413" spans="1:4" ht="15.6" x14ac:dyDescent="0.3">
      <c r="A413" s="59">
        <v>45298</v>
      </c>
      <c r="B413" s="8">
        <v>656.75</v>
      </c>
      <c r="C413" s="15">
        <f>'Ratio Analysis'!$F$23</f>
        <v>8176.3313609467459</v>
      </c>
      <c r="D413" s="28">
        <f t="shared" si="6"/>
        <v>8.0323310175133875E-2</v>
      </c>
    </row>
    <row r="414" spans="1:4" ht="15.6" x14ac:dyDescent="0.3">
      <c r="A414" s="8" t="s">
        <v>604</v>
      </c>
      <c r="B414" s="8">
        <v>669.65</v>
      </c>
      <c r="C414" s="15">
        <f>'Ratio Analysis'!$F$23</f>
        <v>8176.3313609467459</v>
      </c>
      <c r="D414" s="28">
        <f t="shared" si="6"/>
        <v>8.1901034882037912E-2</v>
      </c>
    </row>
    <row r="415" spans="1:4" ht="15.6" x14ac:dyDescent="0.3">
      <c r="A415" s="8" t="s">
        <v>605</v>
      </c>
      <c r="B415" s="8">
        <v>673.25</v>
      </c>
      <c r="C415" s="15">
        <f>'Ratio Analysis'!$F$23</f>
        <v>8176.3313609467459</v>
      </c>
      <c r="D415" s="28">
        <f t="shared" si="6"/>
        <v>8.2341330149080905E-2</v>
      </c>
    </row>
    <row r="416" spans="1:4" ht="15.6" x14ac:dyDescent="0.3">
      <c r="A416" s="8" t="s">
        <v>606</v>
      </c>
      <c r="B416" s="8">
        <v>650</v>
      </c>
      <c r="C416" s="15">
        <f>'Ratio Analysis'!$F$23</f>
        <v>8176.3313609467459</v>
      </c>
      <c r="D416" s="28">
        <f t="shared" si="6"/>
        <v>7.9497756549428283E-2</v>
      </c>
    </row>
    <row r="417" spans="1:4" ht="15.6" x14ac:dyDescent="0.3">
      <c r="A417" s="8" t="s">
        <v>607</v>
      </c>
      <c r="B417" s="8">
        <v>663.9</v>
      </c>
      <c r="C417" s="15">
        <f>'Ratio Analysis'!$F$23</f>
        <v>8176.3313609467459</v>
      </c>
      <c r="D417" s="28">
        <f t="shared" si="6"/>
        <v>8.1197785497177585E-2</v>
      </c>
    </row>
    <row r="418" spans="1:4" ht="15.6" x14ac:dyDescent="0.3">
      <c r="A418" s="8" t="s">
        <v>608</v>
      </c>
      <c r="B418" s="8">
        <v>659.5</v>
      </c>
      <c r="C418" s="15">
        <f>'Ratio Analysis'!$F$23</f>
        <v>8176.3313609467459</v>
      </c>
      <c r="D418" s="28">
        <f t="shared" si="6"/>
        <v>8.0659646837458382E-2</v>
      </c>
    </row>
    <row r="419" spans="1:4" ht="15.6" x14ac:dyDescent="0.3">
      <c r="A419" s="8" t="s">
        <v>609</v>
      </c>
      <c r="B419" s="8">
        <v>664.55</v>
      </c>
      <c r="C419" s="15">
        <f>'Ratio Analysis'!$F$23</f>
        <v>8176.3313609467459</v>
      </c>
      <c r="D419" s="28">
        <f t="shared" si="6"/>
        <v>8.1277283253727017E-2</v>
      </c>
    </row>
    <row r="420" spans="1:4" ht="15.6" x14ac:dyDescent="0.3">
      <c r="A420" s="8" t="s">
        <v>610</v>
      </c>
      <c r="B420" s="8">
        <v>647.54999999999995</v>
      </c>
      <c r="C420" s="15">
        <f>'Ratio Analysis'!$F$23</f>
        <v>8176.3313609467459</v>
      </c>
      <c r="D420" s="28">
        <f t="shared" si="6"/>
        <v>7.9198111159357348E-2</v>
      </c>
    </row>
    <row r="421" spans="1:4" ht="15.6" x14ac:dyDescent="0.3">
      <c r="A421" s="8" t="s">
        <v>611</v>
      </c>
      <c r="B421" s="8">
        <v>633.45000000000005</v>
      </c>
      <c r="C421" s="15">
        <f>'Ratio Analysis'!$F$23</f>
        <v>8176.3313609467459</v>
      </c>
      <c r="D421" s="28">
        <f t="shared" si="6"/>
        <v>7.7473621363438994E-2</v>
      </c>
    </row>
    <row r="422" spans="1:4" ht="15.6" x14ac:dyDescent="0.3">
      <c r="A422" s="8" t="s">
        <v>612</v>
      </c>
      <c r="B422" s="8">
        <v>645.75</v>
      </c>
      <c r="C422" s="15">
        <f>'Ratio Analysis'!$F$23</f>
        <v>8176.3313609467459</v>
      </c>
      <c r="D422" s="28">
        <f t="shared" si="6"/>
        <v>7.8977963525835859E-2</v>
      </c>
    </row>
    <row r="423" spans="1:4" ht="15.6" x14ac:dyDescent="0.3">
      <c r="A423" s="8" t="s">
        <v>613</v>
      </c>
      <c r="B423" s="8">
        <v>661.9</v>
      </c>
      <c r="C423" s="15">
        <f>'Ratio Analysis'!$F$23</f>
        <v>8176.3313609467459</v>
      </c>
      <c r="D423" s="28">
        <f t="shared" si="6"/>
        <v>8.0953177015487043E-2</v>
      </c>
    </row>
    <row r="424" spans="1:4" ht="15.6" x14ac:dyDescent="0.3">
      <c r="A424" s="8" t="s">
        <v>614</v>
      </c>
      <c r="B424" s="8">
        <v>672.4</v>
      </c>
      <c r="C424" s="15">
        <f>'Ratio Analysis'!$F$23</f>
        <v>8176.3313609467459</v>
      </c>
      <c r="D424" s="28">
        <f t="shared" si="6"/>
        <v>8.223737154436242E-2</v>
      </c>
    </row>
    <row r="425" spans="1:4" ht="15.6" x14ac:dyDescent="0.3">
      <c r="A425" s="59">
        <v>45632</v>
      </c>
      <c r="B425" s="8">
        <v>688.25</v>
      </c>
      <c r="C425" s="15">
        <f>'Ratio Analysis'!$F$23</f>
        <v>8176.3313609467459</v>
      </c>
      <c r="D425" s="28">
        <f t="shared" si="6"/>
        <v>8.4175893761760018E-2</v>
      </c>
    </row>
    <row r="426" spans="1:4" ht="15.6" x14ac:dyDescent="0.3">
      <c r="A426" s="59">
        <v>45602</v>
      </c>
      <c r="B426" s="8">
        <v>696.55</v>
      </c>
      <c r="C426" s="15">
        <f>'Ratio Analysis'!$F$23</f>
        <v>8176.3313609467459</v>
      </c>
      <c r="D426" s="28">
        <f t="shared" si="6"/>
        <v>8.5191018960775786E-2</v>
      </c>
    </row>
    <row r="427" spans="1:4" ht="15.6" x14ac:dyDescent="0.3">
      <c r="A427" s="59">
        <v>45571</v>
      </c>
      <c r="B427" s="8">
        <v>669.65</v>
      </c>
      <c r="C427" s="15">
        <f>'Ratio Analysis'!$F$23</f>
        <v>8176.3313609467459</v>
      </c>
      <c r="D427" s="28">
        <f t="shared" si="6"/>
        <v>8.1901034882037912E-2</v>
      </c>
    </row>
    <row r="428" spans="1:4" ht="15.6" x14ac:dyDescent="0.3">
      <c r="A428" s="59">
        <v>45479</v>
      </c>
      <c r="B428" s="8">
        <v>688.15</v>
      </c>
      <c r="C428" s="15">
        <f>'Ratio Analysis'!$F$23</f>
        <v>8176.3313609467459</v>
      </c>
      <c r="D428" s="28">
        <f t="shared" si="6"/>
        <v>8.4163663337675484E-2</v>
      </c>
    </row>
    <row r="429" spans="1:4" ht="15.6" x14ac:dyDescent="0.3">
      <c r="A429" s="59">
        <v>45449</v>
      </c>
      <c r="B429" s="8">
        <v>687.8</v>
      </c>
      <c r="C429" s="15">
        <f>'Ratio Analysis'!$F$23</f>
        <v>8176.3313609467459</v>
      </c>
      <c r="D429" s="28">
        <f t="shared" si="6"/>
        <v>8.4120856853379639E-2</v>
      </c>
    </row>
    <row r="430" spans="1:4" ht="15.6" x14ac:dyDescent="0.3">
      <c r="A430" s="59">
        <v>45418</v>
      </c>
      <c r="B430" s="8">
        <v>676.85</v>
      </c>
      <c r="C430" s="15">
        <f>'Ratio Analysis'!$F$23</f>
        <v>8176.3313609467459</v>
      </c>
      <c r="D430" s="28">
        <f t="shared" si="6"/>
        <v>8.2781625416123897E-2</v>
      </c>
    </row>
    <row r="431" spans="1:4" ht="15.6" x14ac:dyDescent="0.3">
      <c r="A431" s="59">
        <v>45388</v>
      </c>
      <c r="B431" s="8">
        <v>639.35</v>
      </c>
      <c r="C431" s="15">
        <f>'Ratio Analysis'!$F$23</f>
        <v>8176.3313609467459</v>
      </c>
      <c r="D431" s="28">
        <f t="shared" si="6"/>
        <v>7.8195216384426114E-2</v>
      </c>
    </row>
    <row r="432" spans="1:4" ht="15.6" x14ac:dyDescent="0.3">
      <c r="A432" s="59">
        <v>45357</v>
      </c>
      <c r="B432" s="8">
        <v>696.4</v>
      </c>
      <c r="C432" s="15">
        <f>'Ratio Analysis'!$F$23</f>
        <v>8176.3313609467459</v>
      </c>
      <c r="D432" s="28">
        <f t="shared" si="6"/>
        <v>8.5172673324649006E-2</v>
      </c>
    </row>
    <row r="433" spans="1:4" ht="15.6" x14ac:dyDescent="0.3">
      <c r="A433" s="8" t="s">
        <v>615</v>
      </c>
      <c r="B433" s="8">
        <v>687.25</v>
      </c>
      <c r="C433" s="15">
        <f>'Ratio Analysis'!$F$23</f>
        <v>8176.3313609467459</v>
      </c>
      <c r="D433" s="28">
        <f t="shared" si="6"/>
        <v>8.405358952091474E-2</v>
      </c>
    </row>
    <row r="434" spans="1:4" ht="15.6" x14ac:dyDescent="0.3">
      <c r="A434" s="8" t="s">
        <v>616</v>
      </c>
      <c r="B434" s="8">
        <v>666.5</v>
      </c>
      <c r="C434" s="15">
        <f>'Ratio Analysis'!$F$23</f>
        <v>8176.3313609467459</v>
      </c>
      <c r="D434" s="28">
        <f t="shared" si="6"/>
        <v>8.15157765233753E-2</v>
      </c>
    </row>
    <row r="435" spans="1:4" ht="15.6" x14ac:dyDescent="0.3">
      <c r="A435" s="8" t="s">
        <v>617</v>
      </c>
      <c r="B435" s="8">
        <v>711.8</v>
      </c>
      <c r="C435" s="15">
        <f>'Ratio Analysis'!$F$23</f>
        <v>8176.3313609467459</v>
      </c>
      <c r="D435" s="28">
        <f t="shared" si="6"/>
        <v>8.7056158633666225E-2</v>
      </c>
    </row>
    <row r="436" spans="1:4" ht="15.6" x14ac:dyDescent="0.3">
      <c r="A436" s="8" t="s">
        <v>618</v>
      </c>
      <c r="B436" s="8">
        <v>716.3</v>
      </c>
      <c r="C436" s="15">
        <f>'Ratio Analysis'!$F$23</f>
        <v>8176.3313609467459</v>
      </c>
      <c r="D436" s="28">
        <f t="shared" si="6"/>
        <v>8.7606527717469962E-2</v>
      </c>
    </row>
    <row r="437" spans="1:4" ht="15.6" x14ac:dyDescent="0.3">
      <c r="A437" s="8" t="s">
        <v>619</v>
      </c>
      <c r="B437" s="8">
        <v>706.9</v>
      </c>
      <c r="C437" s="15">
        <f>'Ratio Analysis'!$F$23</f>
        <v>8176.3313609467459</v>
      </c>
      <c r="D437" s="28">
        <f t="shared" si="6"/>
        <v>8.6456867853524383E-2</v>
      </c>
    </row>
    <row r="438" spans="1:4" ht="15.6" x14ac:dyDescent="0.3">
      <c r="A438" s="8" t="s">
        <v>620</v>
      </c>
      <c r="B438" s="8">
        <v>742.65</v>
      </c>
      <c r="C438" s="15">
        <f>'Ratio Analysis'!$F$23</f>
        <v>8176.3313609467459</v>
      </c>
      <c r="D438" s="28">
        <f t="shared" si="6"/>
        <v>9.0829244463742936E-2</v>
      </c>
    </row>
    <row r="439" spans="1:4" ht="15.6" x14ac:dyDescent="0.3">
      <c r="A439" s="8" t="s">
        <v>621</v>
      </c>
      <c r="B439" s="8">
        <v>740.9</v>
      </c>
      <c r="C439" s="15">
        <f>'Ratio Analysis'!$F$23</f>
        <v>8176.3313609467459</v>
      </c>
      <c r="D439" s="28">
        <f t="shared" si="6"/>
        <v>9.0615212042263707E-2</v>
      </c>
    </row>
    <row r="440" spans="1:4" ht="15.6" x14ac:dyDescent="0.3">
      <c r="A440" s="8" t="s">
        <v>622</v>
      </c>
      <c r="B440" s="8">
        <v>772.3</v>
      </c>
      <c r="C440" s="15">
        <f>'Ratio Analysis'!$F$23</f>
        <v>8176.3313609467459</v>
      </c>
      <c r="D440" s="28">
        <f t="shared" si="6"/>
        <v>9.4455565204805317E-2</v>
      </c>
    </row>
    <row r="441" spans="1:4" ht="15.6" x14ac:dyDescent="0.3">
      <c r="A441" s="8" t="s">
        <v>623</v>
      </c>
      <c r="B441" s="8">
        <v>741.3</v>
      </c>
      <c r="C441" s="15">
        <f>'Ratio Analysis'!$F$23</f>
        <v>8176.3313609467459</v>
      </c>
      <c r="D441" s="28">
        <f t="shared" si="6"/>
        <v>9.0664133738601813E-2</v>
      </c>
    </row>
    <row r="442" spans="1:4" ht="15.6" x14ac:dyDescent="0.3">
      <c r="A442" s="8" t="s">
        <v>624</v>
      </c>
      <c r="B442" s="8">
        <v>619.70000000000005</v>
      </c>
      <c r="C442" s="15">
        <f>'Ratio Analysis'!$F$23</f>
        <v>8176.3313609467459</v>
      </c>
      <c r="D442" s="28">
        <f t="shared" si="6"/>
        <v>7.5791938051816471E-2</v>
      </c>
    </row>
    <row r="443" spans="1:4" ht="15.6" x14ac:dyDescent="0.3">
      <c r="A443" s="8" t="s">
        <v>625</v>
      </c>
      <c r="B443" s="8">
        <v>590.20000000000005</v>
      </c>
      <c r="C443" s="15">
        <f>'Ratio Analysis'!$F$23</f>
        <v>8176.3313609467459</v>
      </c>
      <c r="D443" s="28">
        <f t="shared" si="6"/>
        <v>7.2183962946880884E-2</v>
      </c>
    </row>
    <row r="444" spans="1:4" ht="15.6" x14ac:dyDescent="0.3">
      <c r="A444" s="8" t="s">
        <v>626</v>
      </c>
      <c r="B444" s="8">
        <v>583.29999999999995</v>
      </c>
      <c r="C444" s="15">
        <f>'Ratio Analysis'!$F$23</f>
        <v>8176.3313609467459</v>
      </c>
      <c r="D444" s="28">
        <f t="shared" si="6"/>
        <v>7.1340063685048485E-2</v>
      </c>
    </row>
    <row r="445" spans="1:4" ht="15.6" x14ac:dyDescent="0.3">
      <c r="A445" s="8" t="s">
        <v>627</v>
      </c>
      <c r="B445" s="8">
        <v>560.85</v>
      </c>
      <c r="C445" s="15">
        <f>'Ratio Analysis'!$F$23</f>
        <v>8176.3313609467459</v>
      </c>
      <c r="D445" s="28">
        <f t="shared" si="6"/>
        <v>6.8594333478072075E-2</v>
      </c>
    </row>
    <row r="446" spans="1:4" ht="15.6" x14ac:dyDescent="0.3">
      <c r="A446" s="8" t="s">
        <v>628</v>
      </c>
      <c r="B446" s="8">
        <v>559.9</v>
      </c>
      <c r="C446" s="15">
        <f>'Ratio Analysis'!$F$23</f>
        <v>8176.3313609467459</v>
      </c>
      <c r="D446" s="28">
        <f t="shared" si="6"/>
        <v>6.8478144449269057E-2</v>
      </c>
    </row>
    <row r="447" spans="1:4" ht="15.6" x14ac:dyDescent="0.3">
      <c r="A447" s="8" t="s">
        <v>629</v>
      </c>
      <c r="B447" s="8">
        <v>579.1</v>
      </c>
      <c r="C447" s="15">
        <f>'Ratio Analysis'!$F$23</f>
        <v>8176.3313609467459</v>
      </c>
      <c r="D447" s="28">
        <f t="shared" si="6"/>
        <v>7.0826385873498335E-2</v>
      </c>
    </row>
    <row r="448" spans="1:4" ht="15.6" x14ac:dyDescent="0.3">
      <c r="A448" s="59">
        <v>45570</v>
      </c>
      <c r="B448" s="8">
        <v>525.5</v>
      </c>
      <c r="C448" s="15">
        <f>'Ratio Analysis'!$F$23</f>
        <v>8176.3313609467459</v>
      </c>
      <c r="D448" s="28">
        <f t="shared" si="6"/>
        <v>6.4270878564191627E-2</v>
      </c>
    </row>
    <row r="449" spans="1:4" ht="15.6" x14ac:dyDescent="0.3">
      <c r="A449" s="59">
        <v>45540</v>
      </c>
      <c r="B449" s="8">
        <v>456.15</v>
      </c>
      <c r="C449" s="15">
        <f>'Ratio Analysis'!$F$23</f>
        <v>8176.3313609467459</v>
      </c>
      <c r="D449" s="28">
        <f t="shared" si="6"/>
        <v>5.5789079461571855E-2</v>
      </c>
    </row>
    <row r="450" spans="1:4" ht="15.6" x14ac:dyDescent="0.3">
      <c r="A450" s="59">
        <v>45509</v>
      </c>
      <c r="B450" s="8">
        <v>471.85</v>
      </c>
      <c r="C450" s="15">
        <f>'Ratio Analysis'!$F$23</f>
        <v>8176.3313609467459</v>
      </c>
      <c r="D450" s="28">
        <f t="shared" si="6"/>
        <v>5.7709256042842667E-2</v>
      </c>
    </row>
    <row r="451" spans="1:4" ht="15.6" x14ac:dyDescent="0.3">
      <c r="A451" s="59">
        <v>45478</v>
      </c>
      <c r="B451" s="8">
        <v>445.8</v>
      </c>
      <c r="C451" s="15">
        <f>'Ratio Analysis'!$F$23</f>
        <v>8176.3313609467459</v>
      </c>
      <c r="D451" s="28">
        <f t="shared" si="6"/>
        <v>5.4523230568823272E-2</v>
      </c>
    </row>
    <row r="452" spans="1:4" ht="15.6" x14ac:dyDescent="0.3">
      <c r="A452" s="59">
        <v>45448</v>
      </c>
      <c r="B452" s="8">
        <v>464.25</v>
      </c>
      <c r="C452" s="15">
        <f>'Ratio Analysis'!$F$23</f>
        <v>8176.3313609467459</v>
      </c>
      <c r="D452" s="28">
        <f t="shared" si="6"/>
        <v>5.6779743812418584E-2</v>
      </c>
    </row>
    <row r="453" spans="1:4" ht="15.6" x14ac:dyDescent="0.3">
      <c r="A453" s="59">
        <v>45356</v>
      </c>
      <c r="B453" s="8">
        <v>470.1</v>
      </c>
      <c r="C453" s="15">
        <f>'Ratio Analysis'!$F$23</f>
        <v>8176.3313609467459</v>
      </c>
      <c r="D453" s="28">
        <f t="shared" si="6"/>
        <v>5.7495223621363438E-2</v>
      </c>
    </row>
    <row r="454" spans="1:4" ht="15.6" x14ac:dyDescent="0.3">
      <c r="A454" s="59">
        <v>45327</v>
      </c>
      <c r="B454" s="8">
        <v>432.1</v>
      </c>
      <c r="C454" s="15">
        <f>'Ratio Analysis'!$F$23</f>
        <v>8176.3313609467459</v>
      </c>
      <c r="D454" s="28">
        <f t="shared" si="6"/>
        <v>5.2847662469243016E-2</v>
      </c>
    </row>
    <row r="455" spans="1:4" ht="15.6" x14ac:dyDescent="0.3">
      <c r="A455" s="8" t="s">
        <v>630</v>
      </c>
      <c r="B455" s="8">
        <v>426.95</v>
      </c>
      <c r="C455" s="15">
        <f>'Ratio Analysis'!$F$23</f>
        <v>8176.3313609467459</v>
      </c>
      <c r="D455" s="28">
        <f t="shared" ref="D455:D518" si="7">B455/C455</f>
        <v>5.2217795628889847E-2</v>
      </c>
    </row>
    <row r="456" spans="1:4" ht="15.6" x14ac:dyDescent="0.3">
      <c r="A456" s="8" t="s">
        <v>631</v>
      </c>
      <c r="B456" s="8">
        <v>424.25</v>
      </c>
      <c r="C456" s="15">
        <f>'Ratio Analysis'!$F$23</f>
        <v>8176.3313609467459</v>
      </c>
      <c r="D456" s="28">
        <f t="shared" si="7"/>
        <v>5.1887574178607614E-2</v>
      </c>
    </row>
    <row r="457" spans="1:4" ht="15.6" x14ac:dyDescent="0.3">
      <c r="A457" s="8" t="s">
        <v>632</v>
      </c>
      <c r="B457" s="8">
        <v>421.6</v>
      </c>
      <c r="C457" s="15">
        <f>'Ratio Analysis'!$F$23</f>
        <v>8176.3313609467459</v>
      </c>
      <c r="D457" s="28">
        <f t="shared" si="7"/>
        <v>5.156346794036764E-2</v>
      </c>
    </row>
    <row r="458" spans="1:4" ht="15.6" x14ac:dyDescent="0.3">
      <c r="A458" s="8" t="s">
        <v>633</v>
      </c>
      <c r="B458" s="8">
        <v>411.5</v>
      </c>
      <c r="C458" s="15">
        <f>'Ratio Analysis'!$F$23</f>
        <v>8176.3313609467459</v>
      </c>
      <c r="D458" s="28">
        <f t="shared" si="7"/>
        <v>5.0328195107830362E-2</v>
      </c>
    </row>
    <row r="459" spans="1:4" ht="15.6" x14ac:dyDescent="0.3">
      <c r="A459" s="8" t="s">
        <v>634</v>
      </c>
      <c r="B459" s="8">
        <v>409.6</v>
      </c>
      <c r="C459" s="15">
        <f>'Ratio Analysis'!$F$23</f>
        <v>8176.3313609467459</v>
      </c>
      <c r="D459" s="28">
        <f t="shared" si="7"/>
        <v>5.0095817050224346E-2</v>
      </c>
    </row>
    <row r="460" spans="1:4" ht="15.6" x14ac:dyDescent="0.3">
      <c r="A460" s="8" t="s">
        <v>635</v>
      </c>
      <c r="B460" s="8">
        <v>404.5</v>
      </c>
      <c r="C460" s="15">
        <f>'Ratio Analysis'!$F$23</f>
        <v>8176.3313609467459</v>
      </c>
      <c r="D460" s="28">
        <f t="shared" si="7"/>
        <v>4.9472065421913444E-2</v>
      </c>
    </row>
    <row r="461" spans="1:4" ht="15.6" x14ac:dyDescent="0.3">
      <c r="A461" s="8" t="s">
        <v>636</v>
      </c>
      <c r="B461" s="8">
        <v>409.7</v>
      </c>
      <c r="C461" s="15">
        <f>'Ratio Analysis'!$F$23</f>
        <v>8176.3313609467459</v>
      </c>
      <c r="D461" s="28">
        <f t="shared" si="7"/>
        <v>5.0108047474308866E-2</v>
      </c>
    </row>
    <row r="462" spans="1:4" ht="15.6" x14ac:dyDescent="0.3">
      <c r="A462" s="8" t="s">
        <v>637</v>
      </c>
      <c r="B462" s="8">
        <v>398.7</v>
      </c>
      <c r="C462" s="15">
        <f>'Ratio Analysis'!$F$23</f>
        <v>8176.3313609467459</v>
      </c>
      <c r="D462" s="28">
        <f t="shared" si="7"/>
        <v>4.876270082501085E-2</v>
      </c>
    </row>
    <row r="463" spans="1:4" ht="15.6" x14ac:dyDescent="0.3">
      <c r="A463" s="8" t="s">
        <v>638</v>
      </c>
      <c r="B463" s="8">
        <v>404.95</v>
      </c>
      <c r="C463" s="15">
        <f>'Ratio Analysis'!$F$23</f>
        <v>8176.3313609467459</v>
      </c>
      <c r="D463" s="28">
        <f t="shared" si="7"/>
        <v>4.9527102330293817E-2</v>
      </c>
    </row>
    <row r="464" spans="1:4" ht="15.6" x14ac:dyDescent="0.3">
      <c r="A464" s="8" t="s">
        <v>639</v>
      </c>
      <c r="B464" s="8">
        <v>402.75</v>
      </c>
      <c r="C464" s="15">
        <f>'Ratio Analysis'!$F$23</f>
        <v>8176.3313609467459</v>
      </c>
      <c r="D464" s="28">
        <f t="shared" si="7"/>
        <v>4.9258033000434215E-2</v>
      </c>
    </row>
    <row r="465" spans="1:4" ht="15.6" x14ac:dyDescent="0.3">
      <c r="A465" s="8" t="s">
        <v>640</v>
      </c>
      <c r="B465" s="8">
        <v>407.25</v>
      </c>
      <c r="C465" s="15">
        <f>'Ratio Analysis'!$F$23</f>
        <v>8176.3313609467459</v>
      </c>
      <c r="D465" s="28">
        <f t="shared" si="7"/>
        <v>4.9808402084237952E-2</v>
      </c>
    </row>
    <row r="466" spans="1:4" ht="15.6" x14ac:dyDescent="0.3">
      <c r="A466" s="59">
        <v>45630</v>
      </c>
      <c r="B466" s="8">
        <v>431.95</v>
      </c>
      <c r="C466" s="15">
        <f>'Ratio Analysis'!$F$23</f>
        <v>8176.3313609467459</v>
      </c>
      <c r="D466" s="28">
        <f t="shared" si="7"/>
        <v>5.2829316833116223E-2</v>
      </c>
    </row>
    <row r="467" spans="1:4" ht="15.6" x14ac:dyDescent="0.3">
      <c r="A467" s="59">
        <v>45569</v>
      </c>
      <c r="B467" s="8">
        <v>401.3</v>
      </c>
      <c r="C467" s="15">
        <f>'Ratio Analysis'!$F$23</f>
        <v>8176.3313609467459</v>
      </c>
      <c r="D467" s="28">
        <f t="shared" si="7"/>
        <v>4.9080691851208565E-2</v>
      </c>
    </row>
    <row r="468" spans="1:4" ht="15.6" x14ac:dyDescent="0.3">
      <c r="A468" s="59">
        <v>45539</v>
      </c>
      <c r="B468" s="8">
        <v>398.4</v>
      </c>
      <c r="C468" s="15">
        <f>'Ratio Analysis'!$F$23</f>
        <v>8176.3313609467459</v>
      </c>
      <c r="D468" s="28">
        <f t="shared" si="7"/>
        <v>4.8726009552757271E-2</v>
      </c>
    </row>
    <row r="469" spans="1:4" ht="15.6" x14ac:dyDescent="0.3">
      <c r="A469" s="59">
        <v>45508</v>
      </c>
      <c r="B469" s="8">
        <v>344.4</v>
      </c>
      <c r="C469" s="15">
        <f>'Ratio Analysis'!$F$23</f>
        <v>8176.3313609467459</v>
      </c>
      <c r="D469" s="28">
        <f t="shared" si="7"/>
        <v>4.2121580547112458E-2</v>
      </c>
    </row>
    <row r="470" spans="1:4" ht="15.6" x14ac:dyDescent="0.3">
      <c r="A470" s="59">
        <v>45416</v>
      </c>
      <c r="B470" s="8">
        <v>339.95</v>
      </c>
      <c r="C470" s="15">
        <f>'Ratio Analysis'!$F$23</f>
        <v>8176.3313609467459</v>
      </c>
      <c r="D470" s="28">
        <f t="shared" si="7"/>
        <v>4.1577326675350988E-2</v>
      </c>
    </row>
    <row r="471" spans="1:4" ht="15.6" x14ac:dyDescent="0.3">
      <c r="A471" s="59">
        <v>45386</v>
      </c>
      <c r="B471" s="8">
        <v>337.85</v>
      </c>
      <c r="C471" s="15">
        <f>'Ratio Analysis'!$F$23</f>
        <v>8176.3313609467459</v>
      </c>
      <c r="D471" s="28">
        <f t="shared" si="7"/>
        <v>4.132048776957592E-2</v>
      </c>
    </row>
    <row r="472" spans="1:4" ht="15.6" x14ac:dyDescent="0.3">
      <c r="A472" s="59">
        <v>45355</v>
      </c>
      <c r="B472" s="8">
        <v>328.35</v>
      </c>
      <c r="C472" s="15">
        <f>'Ratio Analysis'!$F$23</f>
        <v>8176.3313609467459</v>
      </c>
      <c r="D472" s="28">
        <f t="shared" si="7"/>
        <v>4.0158597481545807E-2</v>
      </c>
    </row>
    <row r="473" spans="1:4" ht="15.6" x14ac:dyDescent="0.3">
      <c r="A473" s="59">
        <v>45326</v>
      </c>
      <c r="B473" s="8">
        <v>315.64999999999998</v>
      </c>
      <c r="C473" s="15">
        <f>'Ratio Analysis'!$F$23</f>
        <v>8176.3313609467459</v>
      </c>
      <c r="D473" s="28">
        <f t="shared" si="7"/>
        <v>3.8605333622810822E-2</v>
      </c>
    </row>
    <row r="474" spans="1:4" ht="15.6" x14ac:dyDescent="0.3">
      <c r="A474" s="59">
        <v>45295</v>
      </c>
      <c r="B474" s="8">
        <v>306.14999999999998</v>
      </c>
      <c r="C474" s="15">
        <f>'Ratio Analysis'!$F$23</f>
        <v>8176.3313609467459</v>
      </c>
      <c r="D474" s="28">
        <f t="shared" si="7"/>
        <v>3.7443443334780717E-2</v>
      </c>
    </row>
    <row r="475" spans="1:4" ht="15.6" x14ac:dyDescent="0.3">
      <c r="A475" s="8" t="s">
        <v>641</v>
      </c>
      <c r="B475" s="8">
        <v>292.3</v>
      </c>
      <c r="C475" s="15">
        <f>'Ratio Analysis'!$E$23</f>
        <v>11461.538461538463</v>
      </c>
      <c r="D475" s="28">
        <f t="shared" si="7"/>
        <v>2.5502684563758388E-2</v>
      </c>
    </row>
    <row r="476" spans="1:4" ht="15.6" x14ac:dyDescent="0.3">
      <c r="A476" s="8" t="s">
        <v>642</v>
      </c>
      <c r="B476" s="8">
        <v>293.7</v>
      </c>
      <c r="C476" s="15">
        <f>'Ratio Analysis'!$E$23</f>
        <v>11461.538461538463</v>
      </c>
      <c r="D476" s="28">
        <f t="shared" si="7"/>
        <v>2.5624832214765098E-2</v>
      </c>
    </row>
    <row r="477" spans="1:4" ht="15.6" x14ac:dyDescent="0.3">
      <c r="A477" s="8" t="s">
        <v>643</v>
      </c>
      <c r="B477" s="8">
        <v>294.89999999999998</v>
      </c>
      <c r="C477" s="15">
        <f>'Ratio Analysis'!$E$23</f>
        <v>11461.538461538463</v>
      </c>
      <c r="D477" s="28">
        <f t="shared" si="7"/>
        <v>2.5729530201342277E-2</v>
      </c>
    </row>
    <row r="478" spans="1:4" ht="15.6" x14ac:dyDescent="0.3">
      <c r="A478" s="8" t="s">
        <v>644</v>
      </c>
      <c r="B478" s="8">
        <v>296</v>
      </c>
      <c r="C478" s="15">
        <f>'Ratio Analysis'!$E$23</f>
        <v>11461.538461538463</v>
      </c>
      <c r="D478" s="28">
        <f t="shared" si="7"/>
        <v>2.5825503355704695E-2</v>
      </c>
    </row>
    <row r="479" spans="1:4" ht="15.6" x14ac:dyDescent="0.3">
      <c r="A479" s="8" t="s">
        <v>645</v>
      </c>
      <c r="B479" s="8">
        <v>293.89999999999998</v>
      </c>
      <c r="C479" s="15">
        <f>'Ratio Analysis'!$E$23</f>
        <v>11461.538461538463</v>
      </c>
      <c r="D479" s="28">
        <f t="shared" si="7"/>
        <v>2.5642281879194626E-2</v>
      </c>
    </row>
    <row r="480" spans="1:4" ht="15.6" x14ac:dyDescent="0.3">
      <c r="A480" s="8" t="s">
        <v>646</v>
      </c>
      <c r="B480" s="8">
        <v>291.7</v>
      </c>
      <c r="C480" s="15">
        <f>'Ratio Analysis'!$E$23</f>
        <v>11461.538461538463</v>
      </c>
      <c r="D480" s="28">
        <f t="shared" si="7"/>
        <v>2.5450335570469794E-2</v>
      </c>
    </row>
    <row r="481" spans="1:4" ht="15.6" x14ac:dyDescent="0.3">
      <c r="A481" s="8" t="s">
        <v>647</v>
      </c>
      <c r="B481" s="8">
        <v>293.39999999999998</v>
      </c>
      <c r="C481" s="15">
        <f>'Ratio Analysis'!$E$23</f>
        <v>11461.538461538463</v>
      </c>
      <c r="D481" s="28">
        <f t="shared" si="7"/>
        <v>2.5598657718120799E-2</v>
      </c>
    </row>
    <row r="482" spans="1:4" ht="15.6" x14ac:dyDescent="0.3">
      <c r="A482" s="8" t="s">
        <v>648</v>
      </c>
      <c r="B482" s="8">
        <v>295.45</v>
      </c>
      <c r="C482" s="15">
        <f>'Ratio Analysis'!$E$23</f>
        <v>11461.538461538463</v>
      </c>
      <c r="D482" s="28">
        <f t="shared" si="7"/>
        <v>2.5777516778523486E-2</v>
      </c>
    </row>
    <row r="483" spans="1:4" ht="15.6" x14ac:dyDescent="0.3">
      <c r="A483" s="8" t="s">
        <v>649</v>
      </c>
      <c r="B483" s="8">
        <v>289.39999999999998</v>
      </c>
      <c r="C483" s="15">
        <f>'Ratio Analysis'!$E$23</f>
        <v>11461.538461538463</v>
      </c>
      <c r="D483" s="28">
        <f t="shared" si="7"/>
        <v>2.5249664429530198E-2</v>
      </c>
    </row>
    <row r="484" spans="1:4" ht="15.6" x14ac:dyDescent="0.3">
      <c r="A484" s="8" t="s">
        <v>650</v>
      </c>
      <c r="B484" s="8">
        <v>304.2</v>
      </c>
      <c r="C484" s="15">
        <f>'Ratio Analysis'!$E$23</f>
        <v>11461.538461538463</v>
      </c>
      <c r="D484" s="28">
        <f t="shared" si="7"/>
        <v>2.6540939597315433E-2</v>
      </c>
    </row>
    <row r="485" spans="1:4" ht="15.6" x14ac:dyDescent="0.3">
      <c r="A485" s="8" t="s">
        <v>651</v>
      </c>
      <c r="B485" s="8">
        <v>301.8</v>
      </c>
      <c r="C485" s="15">
        <f>'Ratio Analysis'!$E$23</f>
        <v>11461.538461538463</v>
      </c>
      <c r="D485" s="28">
        <f t="shared" si="7"/>
        <v>2.6331543624161072E-2</v>
      </c>
    </row>
    <row r="486" spans="1:4" ht="15.6" x14ac:dyDescent="0.3">
      <c r="A486" s="59">
        <v>45629</v>
      </c>
      <c r="B486" s="8">
        <v>308.45</v>
      </c>
      <c r="C486" s="15">
        <f>'Ratio Analysis'!$E$23</f>
        <v>11461.538461538463</v>
      </c>
      <c r="D486" s="28">
        <f t="shared" si="7"/>
        <v>2.6911744966442948E-2</v>
      </c>
    </row>
    <row r="487" spans="1:4" ht="15.6" x14ac:dyDescent="0.3">
      <c r="A487" s="59">
        <v>45599</v>
      </c>
      <c r="B487" s="8">
        <v>308.39999999999998</v>
      </c>
      <c r="C487" s="15">
        <f>'Ratio Analysis'!$E$23</f>
        <v>11461.538461538463</v>
      </c>
      <c r="D487" s="28">
        <f t="shared" si="7"/>
        <v>2.6907382550335566E-2</v>
      </c>
    </row>
    <row r="488" spans="1:4" ht="15.6" x14ac:dyDescent="0.3">
      <c r="A488" s="59">
        <v>45476</v>
      </c>
      <c r="B488" s="8">
        <v>310.95</v>
      </c>
      <c r="C488" s="15">
        <f>'Ratio Analysis'!$E$23</f>
        <v>11461.538461538463</v>
      </c>
      <c r="D488" s="28">
        <f t="shared" si="7"/>
        <v>2.7129865771812076E-2</v>
      </c>
    </row>
    <row r="489" spans="1:4" ht="15.6" x14ac:dyDescent="0.3">
      <c r="A489" s="59">
        <v>45446</v>
      </c>
      <c r="B489" s="8">
        <v>307.55</v>
      </c>
      <c r="C489" s="15">
        <f>'Ratio Analysis'!$E$23</f>
        <v>11461.538461538463</v>
      </c>
      <c r="D489" s="28">
        <f t="shared" si="7"/>
        <v>2.6833221476510065E-2</v>
      </c>
    </row>
    <row r="490" spans="1:4" ht="15.6" x14ac:dyDescent="0.3">
      <c r="A490" s="59">
        <v>45415</v>
      </c>
      <c r="B490" s="8">
        <v>308.14999999999998</v>
      </c>
      <c r="C490" s="15">
        <f>'Ratio Analysis'!$E$23</f>
        <v>11461.538461538463</v>
      </c>
      <c r="D490" s="28">
        <f t="shared" si="7"/>
        <v>2.6885570469798652E-2</v>
      </c>
    </row>
    <row r="491" spans="1:4" ht="15.6" x14ac:dyDescent="0.3">
      <c r="A491" s="59">
        <v>45385</v>
      </c>
      <c r="B491" s="8">
        <v>312.2</v>
      </c>
      <c r="C491" s="15">
        <f>'Ratio Analysis'!$E$23</f>
        <v>11461.538461538463</v>
      </c>
      <c r="D491" s="28">
        <f t="shared" si="7"/>
        <v>2.7238926174496639E-2</v>
      </c>
    </row>
    <row r="492" spans="1:4" ht="15.6" x14ac:dyDescent="0.3">
      <c r="A492" s="59">
        <v>45325</v>
      </c>
      <c r="B492" s="8">
        <v>313</v>
      </c>
      <c r="C492" s="15">
        <f>'Ratio Analysis'!$E$23</f>
        <v>11461.538461538463</v>
      </c>
      <c r="D492" s="28">
        <f t="shared" si="7"/>
        <v>2.7308724832214762E-2</v>
      </c>
    </row>
    <row r="493" spans="1:4" ht="15.6" x14ac:dyDescent="0.3">
      <c r="A493" s="59">
        <v>45294</v>
      </c>
      <c r="B493" s="8">
        <v>308.75</v>
      </c>
      <c r="C493" s="15">
        <f>'Ratio Analysis'!$E$23</f>
        <v>11461.538461538463</v>
      </c>
      <c r="D493" s="28">
        <f t="shared" si="7"/>
        <v>2.6937919463087247E-2</v>
      </c>
    </row>
    <row r="494" spans="1:4" ht="15.6" x14ac:dyDescent="0.3">
      <c r="A494" s="8" t="s">
        <v>652</v>
      </c>
      <c r="B494" s="8">
        <v>306.45</v>
      </c>
      <c r="C494" s="15">
        <f>'Ratio Analysis'!$E$23</f>
        <v>11461.538461538463</v>
      </c>
      <c r="D494" s="28">
        <f t="shared" si="7"/>
        <v>2.6737248322147647E-2</v>
      </c>
    </row>
    <row r="495" spans="1:4" ht="15.6" x14ac:dyDescent="0.3">
      <c r="A495" s="8" t="s">
        <v>653</v>
      </c>
      <c r="B495" s="8">
        <v>309</v>
      </c>
      <c r="C495" s="15">
        <f>'Ratio Analysis'!$E$23</f>
        <v>11461.538461538463</v>
      </c>
      <c r="D495" s="28">
        <f t="shared" si="7"/>
        <v>2.6959731543624157E-2</v>
      </c>
    </row>
    <row r="496" spans="1:4" ht="15.6" x14ac:dyDescent="0.3">
      <c r="A496" s="8" t="s">
        <v>654</v>
      </c>
      <c r="B496" s="8">
        <v>309.64999999999998</v>
      </c>
      <c r="C496" s="15">
        <f>'Ratio Analysis'!$E$23</f>
        <v>11461.538461538463</v>
      </c>
      <c r="D496" s="28">
        <f t="shared" si="7"/>
        <v>2.701644295302013E-2</v>
      </c>
    </row>
    <row r="497" spans="1:4" ht="15.6" x14ac:dyDescent="0.3">
      <c r="A497" s="8" t="s">
        <v>655</v>
      </c>
      <c r="B497" s="8">
        <v>310.25</v>
      </c>
      <c r="C497" s="15">
        <f>'Ratio Analysis'!$E$23</f>
        <v>11461.538461538463</v>
      </c>
      <c r="D497" s="28">
        <f t="shared" si="7"/>
        <v>2.7068791946308721E-2</v>
      </c>
    </row>
    <row r="498" spans="1:4" ht="15.6" x14ac:dyDescent="0.3">
      <c r="A498" s="8" t="s">
        <v>656</v>
      </c>
      <c r="B498" s="8">
        <v>310.64999999999998</v>
      </c>
      <c r="C498" s="15">
        <f>'Ratio Analysis'!$E$23</f>
        <v>11461.538461538463</v>
      </c>
      <c r="D498" s="28">
        <f t="shared" si="7"/>
        <v>2.710369127516778E-2</v>
      </c>
    </row>
    <row r="499" spans="1:4" ht="15.6" x14ac:dyDescent="0.3">
      <c r="A499" s="8" t="s">
        <v>657</v>
      </c>
      <c r="B499" s="8">
        <v>310.25</v>
      </c>
      <c r="C499" s="15">
        <f>'Ratio Analysis'!$E$23</f>
        <v>11461.538461538463</v>
      </c>
      <c r="D499" s="28">
        <f t="shared" si="7"/>
        <v>2.7068791946308721E-2</v>
      </c>
    </row>
    <row r="500" spans="1:4" ht="15.6" x14ac:dyDescent="0.3">
      <c r="A500" s="8" t="s">
        <v>658</v>
      </c>
      <c r="B500" s="8">
        <v>309.10000000000002</v>
      </c>
      <c r="C500" s="15">
        <f>'Ratio Analysis'!$E$23</f>
        <v>11461.538461538463</v>
      </c>
      <c r="D500" s="28">
        <f t="shared" si="7"/>
        <v>2.6968456375838924E-2</v>
      </c>
    </row>
    <row r="501" spans="1:4" ht="15.6" x14ac:dyDescent="0.3">
      <c r="A501" s="8" t="s">
        <v>659</v>
      </c>
      <c r="B501" s="8">
        <v>311.10000000000002</v>
      </c>
      <c r="C501" s="15">
        <f>'Ratio Analysis'!$E$23</f>
        <v>11461.538461538463</v>
      </c>
      <c r="D501" s="28">
        <f t="shared" si="7"/>
        <v>2.7142953020134229E-2</v>
      </c>
    </row>
    <row r="502" spans="1:4" ht="15.6" x14ac:dyDescent="0.3">
      <c r="A502" s="8" t="s">
        <v>660</v>
      </c>
      <c r="B502" s="8">
        <v>311.10000000000002</v>
      </c>
      <c r="C502" s="15">
        <f>'Ratio Analysis'!$E$23</f>
        <v>11461.538461538463</v>
      </c>
      <c r="D502" s="28">
        <f t="shared" si="7"/>
        <v>2.7142953020134229E-2</v>
      </c>
    </row>
    <row r="503" spans="1:4" ht="15.6" x14ac:dyDescent="0.3">
      <c r="A503" s="8" t="s">
        <v>661</v>
      </c>
      <c r="B503" s="8">
        <v>313.14999999999998</v>
      </c>
      <c r="C503" s="15">
        <f>'Ratio Analysis'!$E$23</f>
        <v>11461.538461538463</v>
      </c>
      <c r="D503" s="28">
        <f t="shared" si="7"/>
        <v>2.7321812080536908E-2</v>
      </c>
    </row>
    <row r="504" spans="1:4" ht="15.6" x14ac:dyDescent="0.3">
      <c r="A504" s="8" t="s">
        <v>662</v>
      </c>
      <c r="B504" s="8">
        <v>314.89999999999998</v>
      </c>
      <c r="C504" s="15">
        <f>'Ratio Analysis'!$E$23</f>
        <v>11461.538461538463</v>
      </c>
      <c r="D504" s="28">
        <f t="shared" si="7"/>
        <v>2.7474496644295299E-2</v>
      </c>
    </row>
    <row r="505" spans="1:4" ht="15.6" x14ac:dyDescent="0.3">
      <c r="A505" s="8" t="s">
        <v>663</v>
      </c>
      <c r="B505" s="8">
        <v>310.25</v>
      </c>
      <c r="C505" s="15">
        <f>'Ratio Analysis'!$E$23</f>
        <v>11461.538461538463</v>
      </c>
      <c r="D505" s="28">
        <f t="shared" si="7"/>
        <v>2.7068791946308721E-2</v>
      </c>
    </row>
    <row r="506" spans="1:4" ht="15.6" x14ac:dyDescent="0.3">
      <c r="A506" s="8" t="s">
        <v>664</v>
      </c>
      <c r="B506" s="8">
        <v>308.39999999999998</v>
      </c>
      <c r="C506" s="15">
        <f>'Ratio Analysis'!$E$23</f>
        <v>11461.538461538463</v>
      </c>
      <c r="D506" s="28">
        <f t="shared" si="7"/>
        <v>2.6907382550335566E-2</v>
      </c>
    </row>
    <row r="507" spans="1:4" ht="15.6" x14ac:dyDescent="0.3">
      <c r="A507" s="59">
        <v>45628</v>
      </c>
      <c r="B507" s="8">
        <v>308.3</v>
      </c>
      <c r="C507" s="15">
        <f>'Ratio Analysis'!$E$23</f>
        <v>11461.538461538463</v>
      </c>
      <c r="D507" s="28">
        <f t="shared" si="7"/>
        <v>2.6898657718120802E-2</v>
      </c>
    </row>
    <row r="508" spans="1:4" ht="15.6" x14ac:dyDescent="0.3">
      <c r="A508" s="59">
        <v>45537</v>
      </c>
      <c r="B508" s="8">
        <v>312.60000000000002</v>
      </c>
      <c r="C508" s="15">
        <f>'Ratio Analysis'!$E$23</f>
        <v>11461.538461538463</v>
      </c>
      <c r="D508" s="28">
        <f t="shared" si="7"/>
        <v>2.7273825503355702E-2</v>
      </c>
    </row>
    <row r="509" spans="1:4" ht="15.6" x14ac:dyDescent="0.3">
      <c r="A509" s="59">
        <v>45506</v>
      </c>
      <c r="B509" s="8">
        <v>314.35000000000002</v>
      </c>
      <c r="C509" s="15">
        <f>'Ratio Analysis'!$E$23</f>
        <v>11461.538461538463</v>
      </c>
      <c r="D509" s="28">
        <f t="shared" si="7"/>
        <v>2.7426510067114093E-2</v>
      </c>
    </row>
    <row r="510" spans="1:4" ht="15.6" x14ac:dyDescent="0.3">
      <c r="A510" s="59">
        <v>45475</v>
      </c>
      <c r="B510" s="8">
        <v>315.89999999999998</v>
      </c>
      <c r="C510" s="15">
        <f>'Ratio Analysis'!$E$23</f>
        <v>11461.538461538463</v>
      </c>
      <c r="D510" s="28">
        <f t="shared" si="7"/>
        <v>2.7561744966442949E-2</v>
      </c>
    </row>
    <row r="511" spans="1:4" ht="15.6" x14ac:dyDescent="0.3">
      <c r="A511" s="59">
        <v>45445</v>
      </c>
      <c r="B511" s="8">
        <v>315.89999999999998</v>
      </c>
      <c r="C511" s="15">
        <f>'Ratio Analysis'!$E$23</f>
        <v>11461.538461538463</v>
      </c>
      <c r="D511" s="28">
        <f t="shared" si="7"/>
        <v>2.7561744966442949E-2</v>
      </c>
    </row>
    <row r="512" spans="1:4" ht="15.6" x14ac:dyDescent="0.3">
      <c r="A512" s="59">
        <v>45414</v>
      </c>
      <c r="B512" s="8">
        <v>315.5</v>
      </c>
      <c r="C512" s="15">
        <f>'Ratio Analysis'!$E$23</f>
        <v>11461.538461538463</v>
      </c>
      <c r="D512" s="28">
        <f t="shared" si="7"/>
        <v>2.752684563758389E-2</v>
      </c>
    </row>
    <row r="513" spans="1:4" ht="15.6" x14ac:dyDescent="0.3">
      <c r="A513" s="59">
        <v>45324</v>
      </c>
      <c r="B513" s="8">
        <v>318.2</v>
      </c>
      <c r="C513" s="15">
        <f>'Ratio Analysis'!$E$23</f>
        <v>11461.538461538463</v>
      </c>
      <c r="D513" s="28">
        <f t="shared" si="7"/>
        <v>2.7762416107382545E-2</v>
      </c>
    </row>
    <row r="514" spans="1:4" ht="15.6" x14ac:dyDescent="0.3">
      <c r="A514" s="59">
        <v>45293</v>
      </c>
      <c r="B514" s="8">
        <v>317.25</v>
      </c>
      <c r="C514" s="15">
        <f>'Ratio Analysis'!$E$23</f>
        <v>11461.538461538463</v>
      </c>
      <c r="D514" s="28">
        <f t="shared" si="7"/>
        <v>2.767953020134228E-2</v>
      </c>
    </row>
    <row r="515" spans="1:4" ht="15.6" x14ac:dyDescent="0.3">
      <c r="A515" s="8" t="s">
        <v>665</v>
      </c>
      <c r="B515" s="8">
        <v>317.25</v>
      </c>
      <c r="C515" s="15">
        <f>'Ratio Analysis'!$E$23</f>
        <v>11461.538461538463</v>
      </c>
      <c r="D515" s="28">
        <f t="shared" si="7"/>
        <v>2.767953020134228E-2</v>
      </c>
    </row>
    <row r="516" spans="1:4" ht="15.6" x14ac:dyDescent="0.3">
      <c r="A516" s="8" t="s">
        <v>666</v>
      </c>
      <c r="B516" s="8">
        <v>318.05</v>
      </c>
      <c r="C516" s="15">
        <f>'Ratio Analysis'!$E$23</f>
        <v>11461.538461538463</v>
      </c>
      <c r="D516" s="28">
        <f t="shared" si="7"/>
        <v>2.7749328859060399E-2</v>
      </c>
    </row>
    <row r="517" spans="1:4" ht="15.6" x14ac:dyDescent="0.3">
      <c r="A517" s="8" t="s">
        <v>667</v>
      </c>
      <c r="B517" s="8">
        <v>314</v>
      </c>
      <c r="C517" s="15">
        <f>'Ratio Analysis'!$E$23</f>
        <v>11461.538461538463</v>
      </c>
      <c r="D517" s="28">
        <f t="shared" si="7"/>
        <v>2.7395973154362412E-2</v>
      </c>
    </row>
    <row r="518" spans="1:4" ht="15.6" x14ac:dyDescent="0.3">
      <c r="A518" s="8" t="s">
        <v>668</v>
      </c>
      <c r="B518" s="8">
        <v>313.2</v>
      </c>
      <c r="C518" s="15">
        <f>'Ratio Analysis'!$E$23</f>
        <v>11461.538461538463</v>
      </c>
      <c r="D518" s="28">
        <f t="shared" si="7"/>
        <v>2.732617449664429E-2</v>
      </c>
    </row>
    <row r="519" spans="1:4" ht="15.6" x14ac:dyDescent="0.3">
      <c r="A519" s="8" t="s">
        <v>669</v>
      </c>
      <c r="B519" s="8">
        <v>311.25</v>
      </c>
      <c r="C519" s="15">
        <f>'Ratio Analysis'!$E$23</f>
        <v>11461.538461538463</v>
      </c>
      <c r="D519" s="28">
        <f t="shared" ref="D519:D582" si="8">B519/C519</f>
        <v>2.7156040268456375E-2</v>
      </c>
    </row>
    <row r="520" spans="1:4" ht="15.6" x14ac:dyDescent="0.3">
      <c r="A520" s="8" t="s">
        <v>670</v>
      </c>
      <c r="B520" s="8">
        <v>310.7</v>
      </c>
      <c r="C520" s="15">
        <f>'Ratio Analysis'!$E$23</f>
        <v>11461.538461538463</v>
      </c>
      <c r="D520" s="28">
        <f t="shared" si="8"/>
        <v>2.7108053691275162E-2</v>
      </c>
    </row>
    <row r="521" spans="1:4" ht="15.6" x14ac:dyDescent="0.3">
      <c r="A521" s="8" t="s">
        <v>671</v>
      </c>
      <c r="B521" s="8">
        <v>315.14999999999998</v>
      </c>
      <c r="C521" s="15">
        <f>'Ratio Analysis'!$E$23</f>
        <v>11461.538461538463</v>
      </c>
      <c r="D521" s="28">
        <f t="shared" si="8"/>
        <v>2.7496308724832209E-2</v>
      </c>
    </row>
    <row r="522" spans="1:4" ht="15.6" x14ac:dyDescent="0.3">
      <c r="A522" s="8" t="s">
        <v>672</v>
      </c>
      <c r="B522" s="8">
        <v>315.14999999999998</v>
      </c>
      <c r="C522" s="15">
        <f>'Ratio Analysis'!$E$23</f>
        <v>11461.538461538463</v>
      </c>
      <c r="D522" s="28">
        <f t="shared" si="8"/>
        <v>2.7496308724832209E-2</v>
      </c>
    </row>
    <row r="523" spans="1:4" ht="15.6" x14ac:dyDescent="0.3">
      <c r="A523" s="8" t="s">
        <v>673</v>
      </c>
      <c r="B523" s="8">
        <v>312.05</v>
      </c>
      <c r="C523" s="15">
        <f>'Ratio Analysis'!$E$23</f>
        <v>11461.538461538463</v>
      </c>
      <c r="D523" s="28">
        <f t="shared" si="8"/>
        <v>2.7225838926174493E-2</v>
      </c>
    </row>
    <row r="524" spans="1:4" ht="15.6" x14ac:dyDescent="0.3">
      <c r="A524" s="8" t="s">
        <v>674</v>
      </c>
      <c r="B524" s="8">
        <v>315.89999999999998</v>
      </c>
      <c r="C524" s="15">
        <f>'Ratio Analysis'!$E$23</f>
        <v>11461.538461538463</v>
      </c>
      <c r="D524" s="28">
        <f t="shared" si="8"/>
        <v>2.7561744966442949E-2</v>
      </c>
    </row>
    <row r="525" spans="1:4" ht="15.6" x14ac:dyDescent="0.3">
      <c r="A525" s="8" t="s">
        <v>675</v>
      </c>
      <c r="B525" s="8">
        <v>320.60000000000002</v>
      </c>
      <c r="C525" s="15">
        <f>'Ratio Analysis'!$E$23</f>
        <v>11461.538461538463</v>
      </c>
      <c r="D525" s="28">
        <f t="shared" si="8"/>
        <v>2.7971812080536913E-2</v>
      </c>
    </row>
    <row r="526" spans="1:4" ht="15.6" x14ac:dyDescent="0.3">
      <c r="A526" s="8" t="s">
        <v>676</v>
      </c>
      <c r="B526" s="8">
        <v>321.75</v>
      </c>
      <c r="C526" s="15">
        <f>'Ratio Analysis'!$E$23</f>
        <v>11461.538461538463</v>
      </c>
      <c r="D526" s="28">
        <f t="shared" si="8"/>
        <v>2.8072147651006709E-2</v>
      </c>
    </row>
    <row r="527" spans="1:4" ht="15.6" x14ac:dyDescent="0.3">
      <c r="A527" s="59">
        <v>45627</v>
      </c>
      <c r="B527" s="8">
        <v>316.39999999999998</v>
      </c>
      <c r="C527" s="15">
        <f>'Ratio Analysis'!$E$23</f>
        <v>11461.538461538463</v>
      </c>
      <c r="D527" s="28">
        <f t="shared" si="8"/>
        <v>2.7605369127516773E-2</v>
      </c>
    </row>
    <row r="528" spans="1:4" ht="15.6" x14ac:dyDescent="0.3">
      <c r="A528" s="59">
        <v>45597</v>
      </c>
      <c r="B528" s="8">
        <v>317.3</v>
      </c>
      <c r="C528" s="15">
        <f>'Ratio Analysis'!$E$23</f>
        <v>11461.538461538463</v>
      </c>
      <c r="D528" s="28">
        <f t="shared" si="8"/>
        <v>2.7683892617449662E-2</v>
      </c>
    </row>
    <row r="529" spans="1:4" ht="15.6" x14ac:dyDescent="0.3">
      <c r="A529" s="59">
        <v>45566</v>
      </c>
      <c r="B529" s="8">
        <v>317.25</v>
      </c>
      <c r="C529" s="15">
        <f>'Ratio Analysis'!$E$23</f>
        <v>11461.538461538463</v>
      </c>
      <c r="D529" s="28">
        <f t="shared" si="8"/>
        <v>2.767953020134228E-2</v>
      </c>
    </row>
    <row r="530" spans="1:4" ht="15.6" x14ac:dyDescent="0.3">
      <c r="A530" s="59">
        <v>45536</v>
      </c>
      <c r="B530" s="8">
        <v>313.8</v>
      </c>
      <c r="C530" s="15">
        <f>'Ratio Analysis'!$E$23</f>
        <v>11461.538461538463</v>
      </c>
      <c r="D530" s="28">
        <f t="shared" si="8"/>
        <v>2.7378523489932884E-2</v>
      </c>
    </row>
    <row r="531" spans="1:4" ht="15.6" x14ac:dyDescent="0.3">
      <c r="A531" s="59">
        <v>45505</v>
      </c>
      <c r="B531" s="8">
        <v>315.45</v>
      </c>
      <c r="C531" s="15">
        <f>'Ratio Analysis'!$E$23</f>
        <v>11461.538461538463</v>
      </c>
      <c r="D531" s="28">
        <f t="shared" si="8"/>
        <v>2.7522483221476508E-2</v>
      </c>
    </row>
    <row r="532" spans="1:4" ht="15.6" x14ac:dyDescent="0.3">
      <c r="A532" s="59">
        <v>45413</v>
      </c>
      <c r="B532" s="8">
        <v>318.5</v>
      </c>
      <c r="C532" s="15">
        <f>'Ratio Analysis'!$E$23</f>
        <v>11461.538461538463</v>
      </c>
      <c r="D532" s="28">
        <f t="shared" si="8"/>
        <v>2.7788590604026841E-2</v>
      </c>
    </row>
    <row r="533" spans="1:4" ht="15.6" x14ac:dyDescent="0.3">
      <c r="A533" s="59">
        <v>45383</v>
      </c>
      <c r="B533" s="8">
        <v>318.25</v>
      </c>
      <c r="C533" s="15">
        <f>'Ratio Analysis'!$E$23</f>
        <v>11461.538461538463</v>
      </c>
      <c r="D533" s="28">
        <f t="shared" si="8"/>
        <v>2.7766778523489931E-2</v>
      </c>
    </row>
    <row r="534" spans="1:4" ht="15.6" x14ac:dyDescent="0.3">
      <c r="A534" s="59">
        <v>45352</v>
      </c>
      <c r="B534" s="8">
        <v>318.8</v>
      </c>
      <c r="C534" s="15">
        <f>'Ratio Analysis'!$E$23</f>
        <v>11461.538461538463</v>
      </c>
      <c r="D534" s="28">
        <f t="shared" si="8"/>
        <v>2.781476510067114E-2</v>
      </c>
    </row>
    <row r="535" spans="1:4" ht="15.6" x14ac:dyDescent="0.3">
      <c r="A535" s="59">
        <v>45323</v>
      </c>
      <c r="B535" s="8">
        <v>317.3</v>
      </c>
      <c r="C535" s="15">
        <f>'Ratio Analysis'!$E$23</f>
        <v>11461.538461538463</v>
      </c>
      <c r="D535" s="28">
        <f t="shared" si="8"/>
        <v>2.7683892617449662E-2</v>
      </c>
    </row>
    <row r="536" spans="1:4" ht="15.6" x14ac:dyDescent="0.3">
      <c r="A536" s="59">
        <v>45292</v>
      </c>
      <c r="B536" s="8">
        <v>318.35000000000002</v>
      </c>
      <c r="C536" s="15">
        <f>'Ratio Analysis'!$E$23</f>
        <v>11461.538461538463</v>
      </c>
      <c r="D536" s="28">
        <f t="shared" si="8"/>
        <v>2.7775503355704698E-2</v>
      </c>
    </row>
    <row r="537" spans="1:4" ht="15.6" x14ac:dyDescent="0.3">
      <c r="A537" s="8" t="s">
        <v>677</v>
      </c>
      <c r="B537" s="8">
        <v>318.05</v>
      </c>
      <c r="C537" s="15">
        <f>'Ratio Analysis'!$E$23</f>
        <v>11461.538461538463</v>
      </c>
      <c r="D537" s="28">
        <f t="shared" si="8"/>
        <v>2.7749328859060399E-2</v>
      </c>
    </row>
    <row r="538" spans="1:4" ht="15.6" x14ac:dyDescent="0.3">
      <c r="A538" s="8" t="s">
        <v>678</v>
      </c>
      <c r="B538" s="8">
        <v>312.60000000000002</v>
      </c>
      <c r="C538" s="15">
        <f>'Ratio Analysis'!$E$23</f>
        <v>11461.538461538463</v>
      </c>
      <c r="D538" s="28">
        <f t="shared" si="8"/>
        <v>2.7273825503355702E-2</v>
      </c>
    </row>
    <row r="539" spans="1:4" ht="15.6" x14ac:dyDescent="0.3">
      <c r="A539" s="8" t="s">
        <v>679</v>
      </c>
      <c r="B539" s="8">
        <v>311.95</v>
      </c>
      <c r="C539" s="15">
        <f>'Ratio Analysis'!$E$23</f>
        <v>11461.538461538463</v>
      </c>
      <c r="D539" s="28">
        <f t="shared" si="8"/>
        <v>2.7217114093959726E-2</v>
      </c>
    </row>
    <row r="540" spans="1:4" ht="15.6" x14ac:dyDescent="0.3">
      <c r="A540" s="8" t="s">
        <v>680</v>
      </c>
      <c r="B540" s="8">
        <v>311.7</v>
      </c>
      <c r="C540" s="15">
        <f>'Ratio Analysis'!$E$23</f>
        <v>11461.538461538463</v>
      </c>
      <c r="D540" s="28">
        <f t="shared" si="8"/>
        <v>2.7195302013422816E-2</v>
      </c>
    </row>
    <row r="541" spans="1:4" ht="15.6" x14ac:dyDescent="0.3">
      <c r="A541" s="8" t="s">
        <v>681</v>
      </c>
      <c r="B541" s="8">
        <v>309.89999999999998</v>
      </c>
      <c r="C541" s="15">
        <f>'Ratio Analysis'!$E$23</f>
        <v>11461.538461538463</v>
      </c>
      <c r="D541" s="28">
        <f t="shared" si="8"/>
        <v>2.7038255033557043E-2</v>
      </c>
    </row>
    <row r="542" spans="1:4" ht="15.6" x14ac:dyDescent="0.3">
      <c r="A542" s="8" t="s">
        <v>682</v>
      </c>
      <c r="B542" s="8">
        <v>306.5</v>
      </c>
      <c r="C542" s="15">
        <f>'Ratio Analysis'!$E$23</f>
        <v>11461.538461538463</v>
      </c>
      <c r="D542" s="28">
        <f t="shared" si="8"/>
        <v>2.6741610738255029E-2</v>
      </c>
    </row>
    <row r="543" spans="1:4" ht="15.6" x14ac:dyDescent="0.3">
      <c r="A543" s="8" t="s">
        <v>683</v>
      </c>
      <c r="B543" s="8">
        <v>306.89999999999998</v>
      </c>
      <c r="C543" s="15">
        <f>'Ratio Analysis'!$E$23</f>
        <v>11461.538461538463</v>
      </c>
      <c r="D543" s="28">
        <f t="shared" si="8"/>
        <v>2.6776510067114088E-2</v>
      </c>
    </row>
    <row r="544" spans="1:4" ht="15.6" x14ac:dyDescent="0.3">
      <c r="A544" s="8" t="s">
        <v>684</v>
      </c>
      <c r="B544" s="8">
        <v>311.95</v>
      </c>
      <c r="C544" s="15">
        <f>'Ratio Analysis'!$E$23</f>
        <v>11461.538461538463</v>
      </c>
      <c r="D544" s="28">
        <f t="shared" si="8"/>
        <v>2.7217114093959726E-2</v>
      </c>
    </row>
    <row r="545" spans="1:4" ht="15.6" x14ac:dyDescent="0.3">
      <c r="A545" s="8" t="s">
        <v>685</v>
      </c>
      <c r="B545" s="8">
        <v>315.3</v>
      </c>
      <c r="C545" s="15">
        <f>'Ratio Analysis'!$E$23</f>
        <v>11461.538461538463</v>
      </c>
      <c r="D545" s="28">
        <f t="shared" si="8"/>
        <v>2.7509395973154362E-2</v>
      </c>
    </row>
    <row r="546" spans="1:4" ht="15.6" x14ac:dyDescent="0.3">
      <c r="A546" s="8" t="s">
        <v>686</v>
      </c>
      <c r="B546" s="8">
        <v>316.35000000000002</v>
      </c>
      <c r="C546" s="15">
        <f>'Ratio Analysis'!$E$23</f>
        <v>11461.538461538463</v>
      </c>
      <c r="D546" s="28">
        <f t="shared" si="8"/>
        <v>2.7601006711409394E-2</v>
      </c>
    </row>
    <row r="547" spans="1:4" ht="15.6" x14ac:dyDescent="0.3">
      <c r="A547" s="8" t="s">
        <v>687</v>
      </c>
      <c r="B547" s="8">
        <v>319.10000000000002</v>
      </c>
      <c r="C547" s="15">
        <f>'Ratio Analysis'!$E$23</f>
        <v>11461.538461538463</v>
      </c>
      <c r="D547" s="28">
        <f t="shared" si="8"/>
        <v>2.7840939597315435E-2</v>
      </c>
    </row>
    <row r="548" spans="1:4" ht="15.6" x14ac:dyDescent="0.3">
      <c r="A548" s="8" t="s">
        <v>688</v>
      </c>
      <c r="B548" s="8">
        <v>325.5</v>
      </c>
      <c r="C548" s="15">
        <f>'Ratio Analysis'!$E$23</f>
        <v>11461.538461538463</v>
      </c>
      <c r="D548" s="28">
        <f t="shared" si="8"/>
        <v>2.8399328859060401E-2</v>
      </c>
    </row>
    <row r="549" spans="1:4" ht="15.6" x14ac:dyDescent="0.3">
      <c r="A549" s="59">
        <v>45272</v>
      </c>
      <c r="B549" s="8">
        <v>324.89999999999998</v>
      </c>
      <c r="C549" s="15">
        <f>'Ratio Analysis'!$E$23</f>
        <v>11461.538461538463</v>
      </c>
      <c r="D549" s="28">
        <f t="shared" si="8"/>
        <v>2.8346979865771806E-2</v>
      </c>
    </row>
    <row r="550" spans="1:4" ht="15.6" x14ac:dyDescent="0.3">
      <c r="A550" s="59">
        <v>45242</v>
      </c>
      <c r="B550" s="8">
        <v>325.35000000000002</v>
      </c>
      <c r="C550" s="15">
        <f>'Ratio Analysis'!$E$23</f>
        <v>11461.538461538463</v>
      </c>
      <c r="D550" s="28">
        <f t="shared" si="8"/>
        <v>2.8386241610738255E-2</v>
      </c>
    </row>
    <row r="551" spans="1:4" ht="15.6" x14ac:dyDescent="0.3">
      <c r="A551" s="59">
        <v>45150</v>
      </c>
      <c r="B551" s="8">
        <v>322.64999999999998</v>
      </c>
      <c r="C551" s="15">
        <f>'Ratio Analysis'!$E$23</f>
        <v>11461.538461538463</v>
      </c>
      <c r="D551" s="28">
        <f t="shared" si="8"/>
        <v>2.8150671140939592E-2</v>
      </c>
    </row>
    <row r="552" spans="1:4" ht="15.6" x14ac:dyDescent="0.3">
      <c r="A552" s="59">
        <v>45119</v>
      </c>
      <c r="B552" s="8">
        <v>324.14999999999998</v>
      </c>
      <c r="C552" s="15">
        <f>'Ratio Analysis'!$E$23</f>
        <v>11461.538461538463</v>
      </c>
      <c r="D552" s="28">
        <f t="shared" si="8"/>
        <v>2.8281543624161069E-2</v>
      </c>
    </row>
    <row r="553" spans="1:4" ht="15.6" x14ac:dyDescent="0.3">
      <c r="A553" s="59">
        <v>45089</v>
      </c>
      <c r="B553" s="8">
        <v>325.64999999999998</v>
      </c>
      <c r="C553" s="15">
        <f>'Ratio Analysis'!$E$23</f>
        <v>11461.538461538463</v>
      </c>
      <c r="D553" s="28">
        <f t="shared" si="8"/>
        <v>2.8412416107382547E-2</v>
      </c>
    </row>
    <row r="554" spans="1:4" ht="15.6" x14ac:dyDescent="0.3">
      <c r="A554" s="59">
        <v>45058</v>
      </c>
      <c r="B554" s="8">
        <v>325</v>
      </c>
      <c r="C554" s="15">
        <f>'Ratio Analysis'!$E$23</f>
        <v>11461.538461538463</v>
      </c>
      <c r="D554" s="28">
        <f t="shared" si="8"/>
        <v>2.8355704697986574E-2</v>
      </c>
    </row>
    <row r="555" spans="1:4" ht="15.6" x14ac:dyDescent="0.3">
      <c r="A555" s="59">
        <v>45028</v>
      </c>
      <c r="B555" s="8">
        <v>317.89999999999998</v>
      </c>
      <c r="C555" s="15">
        <f>'Ratio Analysis'!$E$23</f>
        <v>11461.538461538463</v>
      </c>
      <c r="D555" s="28">
        <f t="shared" si="8"/>
        <v>2.773624161073825E-2</v>
      </c>
    </row>
    <row r="556" spans="1:4" ht="15.6" x14ac:dyDescent="0.3">
      <c r="A556" s="59">
        <v>44938</v>
      </c>
      <c r="B556" s="8">
        <v>300.14999999999998</v>
      </c>
      <c r="C556" s="15">
        <f>'Ratio Analysis'!$E$23</f>
        <v>11461.538461538463</v>
      </c>
      <c r="D556" s="28">
        <f t="shared" si="8"/>
        <v>2.6187583892617446E-2</v>
      </c>
    </row>
    <row r="557" spans="1:4" ht="15.6" x14ac:dyDescent="0.3">
      <c r="A557" s="8" t="s">
        <v>689</v>
      </c>
      <c r="B557" s="8">
        <v>299.25</v>
      </c>
      <c r="C557" s="15">
        <f>'Ratio Analysis'!$E$23</f>
        <v>11461.538461538463</v>
      </c>
      <c r="D557" s="28">
        <f t="shared" si="8"/>
        <v>2.6109060402684559E-2</v>
      </c>
    </row>
    <row r="558" spans="1:4" ht="15.6" x14ac:dyDescent="0.3">
      <c r="A558" s="8" t="s">
        <v>690</v>
      </c>
      <c r="B558" s="8">
        <v>299.75</v>
      </c>
      <c r="C558" s="15">
        <f>'Ratio Analysis'!$E$23</f>
        <v>11461.538461538463</v>
      </c>
      <c r="D558" s="28">
        <f t="shared" si="8"/>
        <v>2.6152684563758386E-2</v>
      </c>
    </row>
    <row r="559" spans="1:4" ht="15.6" x14ac:dyDescent="0.3">
      <c r="A559" s="8" t="s">
        <v>691</v>
      </c>
      <c r="B559" s="8">
        <v>300.8</v>
      </c>
      <c r="C559" s="15">
        <f>'Ratio Analysis'!$E$23</f>
        <v>11461.538461538463</v>
      </c>
      <c r="D559" s="28">
        <f t="shared" si="8"/>
        <v>2.6244295302013422E-2</v>
      </c>
    </row>
    <row r="560" spans="1:4" ht="15.6" x14ac:dyDescent="0.3">
      <c r="A560" s="8" t="s">
        <v>692</v>
      </c>
      <c r="B560" s="8">
        <v>301</v>
      </c>
      <c r="C560" s="15">
        <f>'Ratio Analysis'!$E$23</f>
        <v>11461.538461538463</v>
      </c>
      <c r="D560" s="28">
        <f t="shared" si="8"/>
        <v>2.626174496644295E-2</v>
      </c>
    </row>
    <row r="561" spans="1:4" ht="15.6" x14ac:dyDescent="0.3">
      <c r="A561" s="8" t="s">
        <v>693</v>
      </c>
      <c r="B561" s="8">
        <v>301.35000000000002</v>
      </c>
      <c r="C561" s="15">
        <f>'Ratio Analysis'!$E$23</f>
        <v>11461.538461538463</v>
      </c>
      <c r="D561" s="28">
        <f t="shared" si="8"/>
        <v>2.6292281879194631E-2</v>
      </c>
    </row>
    <row r="562" spans="1:4" ht="15.6" x14ac:dyDescent="0.3">
      <c r="A562" s="8" t="s">
        <v>694</v>
      </c>
      <c r="B562" s="8">
        <v>299.55</v>
      </c>
      <c r="C562" s="15">
        <f>'Ratio Analysis'!$E$23</f>
        <v>11461.538461538463</v>
      </c>
      <c r="D562" s="28">
        <f t="shared" si="8"/>
        <v>2.6135234899328858E-2</v>
      </c>
    </row>
    <row r="563" spans="1:4" ht="15.6" x14ac:dyDescent="0.3">
      <c r="A563" s="8" t="s">
        <v>695</v>
      </c>
      <c r="B563" s="8">
        <v>303.85000000000002</v>
      </c>
      <c r="C563" s="15">
        <f>'Ratio Analysis'!$E$23</f>
        <v>11461.538461538463</v>
      </c>
      <c r="D563" s="28">
        <f t="shared" si="8"/>
        <v>2.6510402684563759E-2</v>
      </c>
    </row>
    <row r="564" spans="1:4" ht="15.6" x14ac:dyDescent="0.3">
      <c r="A564" s="8" t="s">
        <v>696</v>
      </c>
      <c r="B564" s="8">
        <v>305.10000000000002</v>
      </c>
      <c r="C564" s="15">
        <f>'Ratio Analysis'!$E$23</f>
        <v>11461.538461538463</v>
      </c>
      <c r="D564" s="28">
        <f t="shared" si="8"/>
        <v>2.6619463087248323E-2</v>
      </c>
    </row>
    <row r="565" spans="1:4" ht="15.6" x14ac:dyDescent="0.3">
      <c r="A565" s="8" t="s">
        <v>697</v>
      </c>
      <c r="B565" s="8">
        <v>307.60000000000002</v>
      </c>
      <c r="C565" s="15">
        <f>'Ratio Analysis'!$E$23</f>
        <v>11461.538461538463</v>
      </c>
      <c r="D565" s="28">
        <f t="shared" si="8"/>
        <v>2.683758389261745E-2</v>
      </c>
    </row>
    <row r="566" spans="1:4" ht="15.6" x14ac:dyDescent="0.3">
      <c r="A566" s="8" t="s">
        <v>698</v>
      </c>
      <c r="B566" s="8">
        <v>303.55</v>
      </c>
      <c r="C566" s="15">
        <f>'Ratio Analysis'!$E$23</f>
        <v>11461.538461538463</v>
      </c>
      <c r="D566" s="28">
        <f t="shared" si="8"/>
        <v>2.648422818791946E-2</v>
      </c>
    </row>
    <row r="567" spans="1:4" ht="15.6" x14ac:dyDescent="0.3">
      <c r="A567" s="8" t="s">
        <v>699</v>
      </c>
      <c r="B567" s="8">
        <v>304.3</v>
      </c>
      <c r="C567" s="15">
        <f>'Ratio Analysis'!$E$23</f>
        <v>11461.538461538463</v>
      </c>
      <c r="D567" s="28">
        <f t="shared" si="8"/>
        <v>2.65496644295302E-2</v>
      </c>
    </row>
    <row r="568" spans="1:4" ht="15.6" x14ac:dyDescent="0.3">
      <c r="A568" s="8" t="s">
        <v>700</v>
      </c>
      <c r="B568" s="8">
        <v>301.25</v>
      </c>
      <c r="C568" s="15">
        <f>'Ratio Analysis'!$E$23</f>
        <v>11461.538461538463</v>
      </c>
      <c r="D568" s="28">
        <f t="shared" si="8"/>
        <v>2.6283557046979864E-2</v>
      </c>
    </row>
    <row r="569" spans="1:4" ht="15.6" x14ac:dyDescent="0.3">
      <c r="A569" s="59">
        <v>45271</v>
      </c>
      <c r="B569" s="8">
        <v>303.95</v>
      </c>
      <c r="C569" s="15">
        <f>'Ratio Analysis'!$E$23</f>
        <v>11461.538461538463</v>
      </c>
      <c r="D569" s="28">
        <f t="shared" si="8"/>
        <v>2.6519127516778519E-2</v>
      </c>
    </row>
    <row r="570" spans="1:4" ht="15.6" x14ac:dyDescent="0.3">
      <c r="A570" s="59">
        <v>45210</v>
      </c>
      <c r="B570" s="8">
        <v>301.8</v>
      </c>
      <c r="C570" s="15">
        <f>'Ratio Analysis'!$E$23</f>
        <v>11461.538461538463</v>
      </c>
      <c r="D570" s="28">
        <f t="shared" si="8"/>
        <v>2.6331543624161072E-2</v>
      </c>
    </row>
    <row r="571" spans="1:4" ht="15.6" x14ac:dyDescent="0.3">
      <c r="A571" s="59">
        <v>45180</v>
      </c>
      <c r="B571" s="8">
        <v>296.60000000000002</v>
      </c>
      <c r="C571" s="15">
        <f>'Ratio Analysis'!$E$23</f>
        <v>11461.538461538463</v>
      </c>
      <c r="D571" s="28">
        <f t="shared" si="8"/>
        <v>2.5877852348993289E-2</v>
      </c>
    </row>
    <row r="572" spans="1:4" ht="15.6" x14ac:dyDescent="0.3">
      <c r="A572" s="59">
        <v>45149</v>
      </c>
      <c r="B572" s="8">
        <v>297</v>
      </c>
      <c r="C572" s="15">
        <f>'Ratio Analysis'!$E$23</f>
        <v>11461.538461538463</v>
      </c>
      <c r="D572" s="28">
        <f t="shared" si="8"/>
        <v>2.5912751677852345E-2</v>
      </c>
    </row>
    <row r="573" spans="1:4" ht="15.6" x14ac:dyDescent="0.3">
      <c r="A573" s="59">
        <v>45118</v>
      </c>
      <c r="B573" s="8">
        <v>292.75</v>
      </c>
      <c r="C573" s="15">
        <f>'Ratio Analysis'!$E$23</f>
        <v>11461.538461538463</v>
      </c>
      <c r="D573" s="28">
        <f t="shared" si="8"/>
        <v>2.554194630872483E-2</v>
      </c>
    </row>
    <row r="574" spans="1:4" ht="15.6" x14ac:dyDescent="0.3">
      <c r="A574" s="59">
        <v>45088</v>
      </c>
      <c r="B574" s="8">
        <v>296.05</v>
      </c>
      <c r="C574" s="15">
        <f>'Ratio Analysis'!$E$23</f>
        <v>11461.538461538463</v>
      </c>
      <c r="D574" s="28">
        <f t="shared" si="8"/>
        <v>2.582986577181208E-2</v>
      </c>
    </row>
    <row r="575" spans="1:4" ht="15.6" x14ac:dyDescent="0.3">
      <c r="A575" s="59">
        <v>44996</v>
      </c>
      <c r="B575" s="8">
        <v>299.10000000000002</v>
      </c>
      <c r="C575" s="15">
        <f>'Ratio Analysis'!$E$23</f>
        <v>11461.538461538463</v>
      </c>
      <c r="D575" s="28">
        <f t="shared" si="8"/>
        <v>2.6095973154362417E-2</v>
      </c>
    </row>
    <row r="576" spans="1:4" ht="15.6" x14ac:dyDescent="0.3">
      <c r="A576" s="59">
        <v>44968</v>
      </c>
      <c r="B576" s="8">
        <v>294.3</v>
      </c>
      <c r="C576" s="15">
        <f>'Ratio Analysis'!$E$23</f>
        <v>11461.538461538463</v>
      </c>
      <c r="D576" s="28">
        <f t="shared" si="8"/>
        <v>2.5677181208053689E-2</v>
      </c>
    </row>
    <row r="577" spans="1:4" ht="15.6" x14ac:dyDescent="0.3">
      <c r="A577" s="59">
        <v>44937</v>
      </c>
      <c r="B577" s="8">
        <v>292.5</v>
      </c>
      <c r="C577" s="15">
        <f>'Ratio Analysis'!$E$23</f>
        <v>11461.538461538463</v>
      </c>
      <c r="D577" s="28">
        <f t="shared" si="8"/>
        <v>2.5520134228187916E-2</v>
      </c>
    </row>
    <row r="578" spans="1:4" ht="15.6" x14ac:dyDescent="0.3">
      <c r="A578" s="8" t="s">
        <v>701</v>
      </c>
      <c r="B578" s="8">
        <v>295.55</v>
      </c>
      <c r="C578" s="15">
        <f>'Ratio Analysis'!$E$23</f>
        <v>11461.538461538463</v>
      </c>
      <c r="D578" s="28">
        <f t="shared" si="8"/>
        <v>2.5786241610738253E-2</v>
      </c>
    </row>
    <row r="579" spans="1:4" ht="15.6" x14ac:dyDescent="0.3">
      <c r="A579" s="8" t="s">
        <v>702</v>
      </c>
      <c r="B579" s="8">
        <v>292.85000000000002</v>
      </c>
      <c r="C579" s="15">
        <f>'Ratio Analysis'!$E$23</f>
        <v>11461.538461538463</v>
      </c>
      <c r="D579" s="28">
        <f t="shared" si="8"/>
        <v>2.5550671140939597E-2</v>
      </c>
    </row>
    <row r="580" spans="1:4" ht="15.6" x14ac:dyDescent="0.3">
      <c r="A580" s="8" t="s">
        <v>703</v>
      </c>
      <c r="B580" s="8">
        <v>295.8</v>
      </c>
      <c r="C580" s="15">
        <f>'Ratio Analysis'!$E$23</f>
        <v>11461.538461538463</v>
      </c>
      <c r="D580" s="28">
        <f t="shared" si="8"/>
        <v>2.5808053691275167E-2</v>
      </c>
    </row>
    <row r="581" spans="1:4" ht="15.6" x14ac:dyDescent="0.3">
      <c r="A581" s="8" t="s">
        <v>704</v>
      </c>
      <c r="B581" s="8">
        <v>294.7</v>
      </c>
      <c r="C581" s="15">
        <f>'Ratio Analysis'!$E$23</f>
        <v>11461.538461538463</v>
      </c>
      <c r="D581" s="28">
        <f t="shared" si="8"/>
        <v>2.5712080536912749E-2</v>
      </c>
    </row>
    <row r="582" spans="1:4" ht="15.6" x14ac:dyDescent="0.3">
      <c r="A582" s="8" t="s">
        <v>705</v>
      </c>
      <c r="B582" s="8">
        <v>299.7</v>
      </c>
      <c r="C582" s="15">
        <f>'Ratio Analysis'!$E$23</f>
        <v>11461.538461538463</v>
      </c>
      <c r="D582" s="28">
        <f t="shared" si="8"/>
        <v>2.6148322147651004E-2</v>
      </c>
    </row>
    <row r="583" spans="1:4" ht="15.6" x14ac:dyDescent="0.3">
      <c r="A583" s="8" t="s">
        <v>706</v>
      </c>
      <c r="B583" s="8">
        <v>303.45</v>
      </c>
      <c r="C583" s="15">
        <f>'Ratio Analysis'!$E$23</f>
        <v>11461.538461538463</v>
      </c>
      <c r="D583" s="28">
        <f t="shared" ref="D583:D646" si="9">B583/C583</f>
        <v>2.6475503355704696E-2</v>
      </c>
    </row>
    <row r="584" spans="1:4" ht="15.6" x14ac:dyDescent="0.3">
      <c r="A584" s="8" t="s">
        <v>707</v>
      </c>
      <c r="B584" s="8">
        <v>308.60000000000002</v>
      </c>
      <c r="C584" s="15">
        <f>'Ratio Analysis'!$E$23</f>
        <v>11461.538461538463</v>
      </c>
      <c r="D584" s="28">
        <f t="shared" si="9"/>
        <v>2.6924832214765101E-2</v>
      </c>
    </row>
    <row r="585" spans="1:4" ht="15.6" x14ac:dyDescent="0.3">
      <c r="A585" s="8" t="s">
        <v>708</v>
      </c>
      <c r="B585" s="8">
        <v>314.39999999999998</v>
      </c>
      <c r="C585" s="15">
        <f>'Ratio Analysis'!$E$23</f>
        <v>11461.538461538463</v>
      </c>
      <c r="D585" s="28">
        <f t="shared" si="9"/>
        <v>2.7430872483221472E-2</v>
      </c>
    </row>
    <row r="586" spans="1:4" ht="15.6" x14ac:dyDescent="0.3">
      <c r="A586" s="8" t="s">
        <v>709</v>
      </c>
      <c r="B586" s="8">
        <v>313.25</v>
      </c>
      <c r="C586" s="15">
        <f>'Ratio Analysis'!$E$23</f>
        <v>11461.538461538463</v>
      </c>
      <c r="D586" s="28">
        <f t="shared" si="9"/>
        <v>2.7330536912751675E-2</v>
      </c>
    </row>
    <row r="587" spans="1:4" ht="15.6" x14ac:dyDescent="0.3">
      <c r="A587" s="8" t="s">
        <v>710</v>
      </c>
      <c r="B587" s="8">
        <v>321.2</v>
      </c>
      <c r="C587" s="15">
        <f>'Ratio Analysis'!$E$23</f>
        <v>11461.538461538463</v>
      </c>
      <c r="D587" s="28">
        <f t="shared" si="9"/>
        <v>2.80241610738255E-2</v>
      </c>
    </row>
    <row r="588" spans="1:4" ht="15.6" x14ac:dyDescent="0.3">
      <c r="A588" s="8" t="s">
        <v>711</v>
      </c>
      <c r="B588" s="8">
        <v>321.89999999999998</v>
      </c>
      <c r="C588" s="15">
        <f>'Ratio Analysis'!$E$23</f>
        <v>11461.538461538463</v>
      </c>
      <c r="D588" s="28">
        <f t="shared" si="9"/>
        <v>2.8085234899328855E-2</v>
      </c>
    </row>
    <row r="589" spans="1:4" ht="15.6" x14ac:dyDescent="0.3">
      <c r="A589" s="8" t="s">
        <v>712</v>
      </c>
      <c r="B589" s="8">
        <v>318.60000000000002</v>
      </c>
      <c r="C589" s="15">
        <f>'Ratio Analysis'!$E$23</f>
        <v>11461.538461538463</v>
      </c>
      <c r="D589" s="28">
        <f t="shared" si="9"/>
        <v>2.7797315436241608E-2</v>
      </c>
    </row>
    <row r="590" spans="1:4" ht="15.6" x14ac:dyDescent="0.3">
      <c r="A590" s="59">
        <v>45270</v>
      </c>
      <c r="B590" s="8">
        <v>317.7</v>
      </c>
      <c r="C590" s="15">
        <f>'Ratio Analysis'!$E$23</f>
        <v>11461.538461538463</v>
      </c>
      <c r="D590" s="28">
        <f t="shared" si="9"/>
        <v>2.7718791946308722E-2</v>
      </c>
    </row>
    <row r="591" spans="1:4" ht="15.6" x14ac:dyDescent="0.3">
      <c r="A591" s="59">
        <v>45240</v>
      </c>
      <c r="B591" s="8">
        <v>317.3</v>
      </c>
      <c r="C591" s="15">
        <f>'Ratio Analysis'!$E$23</f>
        <v>11461.538461538463</v>
      </c>
      <c r="D591" s="28">
        <f t="shared" si="9"/>
        <v>2.7683892617449662E-2</v>
      </c>
    </row>
    <row r="592" spans="1:4" ht="15.6" x14ac:dyDescent="0.3">
      <c r="A592" s="59">
        <v>45209</v>
      </c>
      <c r="B592" s="8">
        <v>317.05</v>
      </c>
      <c r="C592" s="15">
        <f>'Ratio Analysis'!$E$23</f>
        <v>11461.538461538463</v>
      </c>
      <c r="D592" s="28">
        <f t="shared" si="9"/>
        <v>2.7662080536912749E-2</v>
      </c>
    </row>
    <row r="593" spans="1:4" ht="15.6" x14ac:dyDescent="0.3">
      <c r="A593" s="59">
        <v>45179</v>
      </c>
      <c r="B593" s="8">
        <v>311.8</v>
      </c>
      <c r="C593" s="15">
        <f>'Ratio Analysis'!$E$23</f>
        <v>11461.538461538463</v>
      </c>
      <c r="D593" s="28">
        <f t="shared" si="9"/>
        <v>2.7204026845637583E-2</v>
      </c>
    </row>
    <row r="594" spans="1:4" ht="15.6" x14ac:dyDescent="0.3">
      <c r="A594" s="59">
        <v>45087</v>
      </c>
      <c r="B594" s="8">
        <v>305.55</v>
      </c>
      <c r="C594" s="15">
        <f>'Ratio Analysis'!$E$23</f>
        <v>11461.538461538463</v>
      </c>
      <c r="D594" s="28">
        <f t="shared" si="9"/>
        <v>2.6658724832214764E-2</v>
      </c>
    </row>
    <row r="595" spans="1:4" ht="15.6" x14ac:dyDescent="0.3">
      <c r="A595" s="59">
        <v>45056</v>
      </c>
      <c r="B595" s="8">
        <v>304.5</v>
      </c>
      <c r="C595" s="15">
        <f>'Ratio Analysis'!$E$23</f>
        <v>11461.538461538463</v>
      </c>
      <c r="D595" s="28">
        <f t="shared" si="9"/>
        <v>2.6567114093959728E-2</v>
      </c>
    </row>
    <row r="596" spans="1:4" ht="15.6" x14ac:dyDescent="0.3">
      <c r="A596" s="59">
        <v>45026</v>
      </c>
      <c r="B596" s="8">
        <v>308.14999999999998</v>
      </c>
      <c r="C596" s="15">
        <f>'Ratio Analysis'!$E$23</f>
        <v>11461.538461538463</v>
      </c>
      <c r="D596" s="28">
        <f t="shared" si="9"/>
        <v>2.6885570469798652E-2</v>
      </c>
    </row>
    <row r="597" spans="1:4" ht="15.6" x14ac:dyDescent="0.3">
      <c r="A597" s="59">
        <v>44995</v>
      </c>
      <c r="B597" s="8">
        <v>307</v>
      </c>
      <c r="C597" s="15">
        <f>'Ratio Analysis'!$E$23</f>
        <v>11461.538461538463</v>
      </c>
      <c r="D597" s="28">
        <f t="shared" si="9"/>
        <v>2.6785234899328856E-2</v>
      </c>
    </row>
    <row r="598" spans="1:4" ht="15.6" x14ac:dyDescent="0.3">
      <c r="A598" s="8" t="s">
        <v>713</v>
      </c>
      <c r="B598" s="8">
        <v>308.64999999999998</v>
      </c>
      <c r="C598" s="15">
        <f>'Ratio Analysis'!$E$23</f>
        <v>11461.538461538463</v>
      </c>
      <c r="D598" s="28">
        <f t="shared" si="9"/>
        <v>2.6929194630872479E-2</v>
      </c>
    </row>
    <row r="599" spans="1:4" ht="15.6" x14ac:dyDescent="0.3">
      <c r="A599" s="8" t="s">
        <v>714</v>
      </c>
      <c r="B599" s="8">
        <v>297.95</v>
      </c>
      <c r="C599" s="15">
        <f>'Ratio Analysis'!$E$23</f>
        <v>11461.538461538463</v>
      </c>
      <c r="D599" s="28">
        <f t="shared" si="9"/>
        <v>2.5995637583892613E-2</v>
      </c>
    </row>
    <row r="600" spans="1:4" ht="15.6" x14ac:dyDescent="0.3">
      <c r="A600" s="8" t="s">
        <v>715</v>
      </c>
      <c r="B600" s="8">
        <v>311</v>
      </c>
      <c r="C600" s="15">
        <f>'Ratio Analysis'!$E$23</f>
        <v>11461.538461538463</v>
      </c>
      <c r="D600" s="28">
        <f t="shared" si="9"/>
        <v>2.7134228187919461E-2</v>
      </c>
    </row>
    <row r="601" spans="1:4" ht="15.6" x14ac:dyDescent="0.3">
      <c r="A601" s="8" t="s">
        <v>716</v>
      </c>
      <c r="B601" s="8">
        <v>311.45</v>
      </c>
      <c r="C601" s="15">
        <f>'Ratio Analysis'!$E$23</f>
        <v>11461.538461538463</v>
      </c>
      <c r="D601" s="28">
        <f t="shared" si="9"/>
        <v>2.7173489932885903E-2</v>
      </c>
    </row>
    <row r="602" spans="1:4" ht="15.6" x14ac:dyDescent="0.3">
      <c r="A602" s="8" t="s">
        <v>717</v>
      </c>
      <c r="B602" s="8">
        <v>313.3</v>
      </c>
      <c r="C602" s="15">
        <f>'Ratio Analysis'!$E$23</f>
        <v>11461.538461538463</v>
      </c>
      <c r="D602" s="28">
        <f t="shared" si="9"/>
        <v>2.7334899328859057E-2</v>
      </c>
    </row>
    <row r="603" spans="1:4" ht="15.6" x14ac:dyDescent="0.3">
      <c r="A603" s="8" t="s">
        <v>718</v>
      </c>
      <c r="B603" s="8">
        <v>313.8</v>
      </c>
      <c r="C603" s="15">
        <f>'Ratio Analysis'!$E$23</f>
        <v>11461.538461538463</v>
      </c>
      <c r="D603" s="28">
        <f t="shared" si="9"/>
        <v>2.7378523489932884E-2</v>
      </c>
    </row>
    <row r="604" spans="1:4" ht="15.6" x14ac:dyDescent="0.3">
      <c r="A604" s="8" t="s">
        <v>719</v>
      </c>
      <c r="B604" s="8">
        <v>313.39999999999998</v>
      </c>
      <c r="C604" s="15">
        <f>'Ratio Analysis'!$E$23</f>
        <v>11461.538461538463</v>
      </c>
      <c r="D604" s="28">
        <f t="shared" si="9"/>
        <v>2.7343624161073821E-2</v>
      </c>
    </row>
    <row r="605" spans="1:4" ht="15.6" x14ac:dyDescent="0.3">
      <c r="A605" s="8" t="s">
        <v>720</v>
      </c>
      <c r="B605" s="8">
        <v>315.60000000000002</v>
      </c>
      <c r="C605" s="15">
        <f>'Ratio Analysis'!$E$23</f>
        <v>11461.538461538463</v>
      </c>
      <c r="D605" s="28">
        <f t="shared" si="9"/>
        <v>2.7535570469798657E-2</v>
      </c>
    </row>
    <row r="606" spans="1:4" ht="15.6" x14ac:dyDescent="0.3">
      <c r="A606" s="8" t="s">
        <v>721</v>
      </c>
      <c r="B606" s="8">
        <v>318.14999999999998</v>
      </c>
      <c r="C606" s="15">
        <f>'Ratio Analysis'!$E$23</f>
        <v>11461.538461538463</v>
      </c>
      <c r="D606" s="28">
        <f t="shared" si="9"/>
        <v>2.7758053691275163E-2</v>
      </c>
    </row>
    <row r="607" spans="1:4" ht="15.6" x14ac:dyDescent="0.3">
      <c r="A607" s="8" t="s">
        <v>722</v>
      </c>
      <c r="B607" s="8">
        <v>321.5</v>
      </c>
      <c r="C607" s="15">
        <f>'Ratio Analysis'!$E$23</f>
        <v>11461.538461538463</v>
      </c>
      <c r="D607" s="28">
        <f t="shared" si="9"/>
        <v>2.8050335570469796E-2</v>
      </c>
    </row>
    <row r="608" spans="1:4" ht="15.6" x14ac:dyDescent="0.3">
      <c r="A608" s="8" t="s">
        <v>723</v>
      </c>
      <c r="B608" s="8">
        <v>321.2</v>
      </c>
      <c r="C608" s="15">
        <f>'Ratio Analysis'!$E$23</f>
        <v>11461.538461538463</v>
      </c>
      <c r="D608" s="28">
        <f t="shared" si="9"/>
        <v>2.80241610738255E-2</v>
      </c>
    </row>
    <row r="609" spans="1:4" ht="15.6" x14ac:dyDescent="0.3">
      <c r="A609" s="8" t="s">
        <v>724</v>
      </c>
      <c r="B609" s="8">
        <v>314.85000000000002</v>
      </c>
      <c r="C609" s="15">
        <f>'Ratio Analysis'!$E$23</f>
        <v>11461.538461538463</v>
      </c>
      <c r="D609" s="28">
        <f t="shared" si="9"/>
        <v>2.7470134228187917E-2</v>
      </c>
    </row>
    <row r="610" spans="1:4" ht="15.6" x14ac:dyDescent="0.3">
      <c r="A610" s="59">
        <v>45269</v>
      </c>
      <c r="B610" s="8">
        <v>315.2</v>
      </c>
      <c r="C610" s="15">
        <f>'Ratio Analysis'!$E$23</f>
        <v>11461.538461538463</v>
      </c>
      <c r="D610" s="28">
        <f t="shared" si="9"/>
        <v>2.7500671140939594E-2</v>
      </c>
    </row>
    <row r="611" spans="1:4" ht="15.6" x14ac:dyDescent="0.3">
      <c r="A611" s="59">
        <v>45239</v>
      </c>
      <c r="B611" s="8">
        <v>319.95</v>
      </c>
      <c r="C611" s="15">
        <f>'Ratio Analysis'!$E$23</f>
        <v>11461.538461538463</v>
      </c>
      <c r="D611" s="28">
        <f t="shared" si="9"/>
        <v>2.7915100671140936E-2</v>
      </c>
    </row>
    <row r="612" spans="1:4" ht="15.6" x14ac:dyDescent="0.3">
      <c r="A612" s="59">
        <v>45147</v>
      </c>
      <c r="B612" s="8">
        <v>320.2</v>
      </c>
      <c r="C612" s="15">
        <f>'Ratio Analysis'!$E$23</f>
        <v>11461.538461538463</v>
      </c>
      <c r="D612" s="28">
        <f t="shared" si="9"/>
        <v>2.793691275167785E-2</v>
      </c>
    </row>
    <row r="613" spans="1:4" ht="15.6" x14ac:dyDescent="0.3">
      <c r="A613" s="59">
        <v>45116</v>
      </c>
      <c r="B613" s="8">
        <v>320.89999999999998</v>
      </c>
      <c r="C613" s="15">
        <f>'Ratio Analysis'!$E$23</f>
        <v>11461.538461538463</v>
      </c>
      <c r="D613" s="28">
        <f t="shared" si="9"/>
        <v>2.7997986577181205E-2</v>
      </c>
    </row>
    <row r="614" spans="1:4" ht="15.6" x14ac:dyDescent="0.3">
      <c r="A614" s="59">
        <v>45086</v>
      </c>
      <c r="B614" s="8">
        <v>321.45</v>
      </c>
      <c r="C614" s="15">
        <f>'Ratio Analysis'!$E$23</f>
        <v>11461.538461538463</v>
      </c>
      <c r="D614" s="28">
        <f t="shared" si="9"/>
        <v>2.8045973154362414E-2</v>
      </c>
    </row>
    <row r="615" spans="1:4" ht="15.6" x14ac:dyDescent="0.3">
      <c r="A615" s="59">
        <v>45055</v>
      </c>
      <c r="B615" s="8">
        <v>324</v>
      </c>
      <c r="C615" s="15">
        <f>'Ratio Analysis'!$E$23</f>
        <v>11461.538461538463</v>
      </c>
      <c r="D615" s="28">
        <f t="shared" si="9"/>
        <v>2.8268456375838923E-2</v>
      </c>
    </row>
    <row r="616" spans="1:4" ht="15.6" x14ac:dyDescent="0.3">
      <c r="A616" s="59">
        <v>45025</v>
      </c>
      <c r="B616" s="8">
        <v>323.5</v>
      </c>
      <c r="C616" s="15">
        <f>'Ratio Analysis'!$E$23</f>
        <v>11461.538461538463</v>
      </c>
      <c r="D616" s="28">
        <f t="shared" si="9"/>
        <v>2.8224832214765096E-2</v>
      </c>
    </row>
    <row r="617" spans="1:4" ht="15.6" x14ac:dyDescent="0.3">
      <c r="A617" s="59">
        <v>44935</v>
      </c>
      <c r="B617" s="8">
        <v>319.7</v>
      </c>
      <c r="C617" s="15">
        <f>'Ratio Analysis'!$E$23</f>
        <v>11461.538461538463</v>
      </c>
      <c r="D617" s="28">
        <f t="shared" si="9"/>
        <v>2.7893288590604023E-2</v>
      </c>
    </row>
    <row r="618" spans="1:4" ht="15.6" x14ac:dyDescent="0.3">
      <c r="A618" s="8" t="s">
        <v>725</v>
      </c>
      <c r="B618" s="8">
        <v>318.14999999999998</v>
      </c>
      <c r="C618" s="15">
        <f>'Ratio Analysis'!$E$23</f>
        <v>11461.538461538463</v>
      </c>
      <c r="D618" s="28">
        <f t="shared" si="9"/>
        <v>2.7758053691275163E-2</v>
      </c>
    </row>
    <row r="619" spans="1:4" ht="15.6" x14ac:dyDescent="0.3">
      <c r="A619" s="8" t="s">
        <v>726</v>
      </c>
      <c r="B619" s="8">
        <v>319.95</v>
      </c>
      <c r="C619" s="15">
        <f>'Ratio Analysis'!$E$23</f>
        <v>11461.538461538463</v>
      </c>
      <c r="D619" s="28">
        <f t="shared" si="9"/>
        <v>2.7915100671140936E-2</v>
      </c>
    </row>
    <row r="620" spans="1:4" ht="15.6" x14ac:dyDescent="0.3">
      <c r="A620" s="8" t="s">
        <v>727</v>
      </c>
      <c r="B620" s="8">
        <v>315.39999999999998</v>
      </c>
      <c r="C620" s="15">
        <f>'Ratio Analysis'!$E$23</f>
        <v>11461.538461538463</v>
      </c>
      <c r="D620" s="28">
        <f t="shared" si="9"/>
        <v>2.7518120805369122E-2</v>
      </c>
    </row>
    <row r="621" spans="1:4" ht="15.6" x14ac:dyDescent="0.3">
      <c r="A621" s="8" t="s">
        <v>728</v>
      </c>
      <c r="B621" s="8">
        <v>316.2</v>
      </c>
      <c r="C621" s="15">
        <f>'Ratio Analysis'!$E$23</f>
        <v>11461.538461538463</v>
      </c>
      <c r="D621" s="28">
        <f t="shared" si="9"/>
        <v>2.7587919463087245E-2</v>
      </c>
    </row>
    <row r="622" spans="1:4" ht="15.6" x14ac:dyDescent="0.3">
      <c r="A622" s="8" t="s">
        <v>729</v>
      </c>
      <c r="B622" s="8">
        <v>314.45</v>
      </c>
      <c r="C622" s="15">
        <f>'Ratio Analysis'!$E$23</f>
        <v>11461.538461538463</v>
      </c>
      <c r="D622" s="28">
        <f t="shared" si="9"/>
        <v>2.7435234899328854E-2</v>
      </c>
    </row>
    <row r="623" spans="1:4" ht="15.6" x14ac:dyDescent="0.3">
      <c r="A623" s="8" t="s">
        <v>730</v>
      </c>
      <c r="B623" s="8">
        <v>316.10000000000002</v>
      </c>
      <c r="C623" s="15">
        <f>'Ratio Analysis'!$E$23</f>
        <v>11461.538461538463</v>
      </c>
      <c r="D623" s="28">
        <f t="shared" si="9"/>
        <v>2.7579194630872481E-2</v>
      </c>
    </row>
    <row r="624" spans="1:4" ht="15.6" x14ac:dyDescent="0.3">
      <c r="A624" s="8" t="s">
        <v>731</v>
      </c>
      <c r="B624" s="8">
        <v>314.10000000000002</v>
      </c>
      <c r="C624" s="15">
        <f>'Ratio Analysis'!$E$23</f>
        <v>11461.538461538463</v>
      </c>
      <c r="D624" s="28">
        <f t="shared" si="9"/>
        <v>2.740469798657718E-2</v>
      </c>
    </row>
    <row r="625" spans="1:4" ht="15.6" x14ac:dyDescent="0.3">
      <c r="A625" s="8" t="s">
        <v>732</v>
      </c>
      <c r="B625" s="8">
        <v>316.3</v>
      </c>
      <c r="C625" s="15">
        <f>'Ratio Analysis'!$E$23</f>
        <v>11461.538461538463</v>
      </c>
      <c r="D625" s="28">
        <f t="shared" si="9"/>
        <v>2.7596644295302012E-2</v>
      </c>
    </row>
    <row r="626" spans="1:4" ht="15.6" x14ac:dyDescent="0.3">
      <c r="A626" s="8" t="s">
        <v>733</v>
      </c>
      <c r="B626" s="8">
        <v>315.10000000000002</v>
      </c>
      <c r="C626" s="15">
        <f>'Ratio Analysis'!$E$23</f>
        <v>11461.538461538463</v>
      </c>
      <c r="D626" s="28">
        <f t="shared" si="9"/>
        <v>2.749194630872483E-2</v>
      </c>
    </row>
    <row r="627" spans="1:4" ht="15.6" x14ac:dyDescent="0.3">
      <c r="A627" s="8" t="s">
        <v>734</v>
      </c>
      <c r="B627" s="8">
        <v>314.55</v>
      </c>
      <c r="C627" s="15">
        <f>'Ratio Analysis'!$E$23</f>
        <v>11461.538461538463</v>
      </c>
      <c r="D627" s="28">
        <f t="shared" si="9"/>
        <v>2.7443959731543621E-2</v>
      </c>
    </row>
    <row r="628" spans="1:4" ht="15.6" x14ac:dyDescent="0.3">
      <c r="A628" s="8" t="s">
        <v>735</v>
      </c>
      <c r="B628" s="8">
        <v>314</v>
      </c>
      <c r="C628" s="15">
        <f>'Ratio Analysis'!$E$23</f>
        <v>11461.538461538463</v>
      </c>
      <c r="D628" s="28">
        <f t="shared" si="9"/>
        <v>2.7395973154362412E-2</v>
      </c>
    </row>
    <row r="629" spans="1:4" ht="15.6" x14ac:dyDescent="0.3">
      <c r="A629" s="8" t="s">
        <v>736</v>
      </c>
      <c r="B629" s="8">
        <v>314.2</v>
      </c>
      <c r="C629" s="15">
        <f>'Ratio Analysis'!$E$23</f>
        <v>11461.538461538463</v>
      </c>
      <c r="D629" s="28">
        <f t="shared" si="9"/>
        <v>2.7413422818791944E-2</v>
      </c>
    </row>
    <row r="630" spans="1:4" ht="15.6" x14ac:dyDescent="0.3">
      <c r="A630" s="8" t="s">
        <v>737</v>
      </c>
      <c r="B630" s="8">
        <v>316.55</v>
      </c>
      <c r="C630" s="15">
        <f>'Ratio Analysis'!$E$23</f>
        <v>11461.538461538463</v>
      </c>
      <c r="D630" s="28">
        <f t="shared" si="9"/>
        <v>2.7618456375838926E-2</v>
      </c>
    </row>
    <row r="631" spans="1:4" ht="15.6" x14ac:dyDescent="0.3">
      <c r="A631" s="59">
        <v>45238</v>
      </c>
      <c r="B631" s="8">
        <v>316.55</v>
      </c>
      <c r="C631" s="15">
        <f>'Ratio Analysis'!$E$23</f>
        <v>11461.538461538463</v>
      </c>
      <c r="D631" s="28">
        <f t="shared" si="9"/>
        <v>2.7618456375838926E-2</v>
      </c>
    </row>
    <row r="632" spans="1:4" ht="15.6" x14ac:dyDescent="0.3">
      <c r="A632" s="59">
        <v>45207</v>
      </c>
      <c r="B632" s="8">
        <v>318.8</v>
      </c>
      <c r="C632" s="15">
        <f>'Ratio Analysis'!$E$23</f>
        <v>11461.538461538463</v>
      </c>
      <c r="D632" s="28">
        <f t="shared" si="9"/>
        <v>2.781476510067114E-2</v>
      </c>
    </row>
    <row r="633" spans="1:4" ht="15.6" x14ac:dyDescent="0.3">
      <c r="A633" s="59">
        <v>45177</v>
      </c>
      <c r="B633" s="8">
        <v>320.60000000000002</v>
      </c>
      <c r="C633" s="15">
        <f>'Ratio Analysis'!$E$23</f>
        <v>11461.538461538463</v>
      </c>
      <c r="D633" s="28">
        <f t="shared" si="9"/>
        <v>2.7971812080536913E-2</v>
      </c>
    </row>
    <row r="634" spans="1:4" ht="15.6" x14ac:dyDescent="0.3">
      <c r="A634" s="59">
        <v>45146</v>
      </c>
      <c r="B634" s="8">
        <v>319.45</v>
      </c>
      <c r="C634" s="15">
        <f>'Ratio Analysis'!$E$23</f>
        <v>11461.538461538463</v>
      </c>
      <c r="D634" s="28">
        <f t="shared" si="9"/>
        <v>2.7871476510067109E-2</v>
      </c>
    </row>
    <row r="635" spans="1:4" ht="15.6" x14ac:dyDescent="0.3">
      <c r="A635" s="59">
        <v>45115</v>
      </c>
      <c r="B635" s="8">
        <v>316.75</v>
      </c>
      <c r="C635" s="15">
        <f>'Ratio Analysis'!$E$23</f>
        <v>11461.538461538463</v>
      </c>
      <c r="D635" s="28">
        <f t="shared" si="9"/>
        <v>2.7635906040268454E-2</v>
      </c>
    </row>
    <row r="636" spans="1:4" ht="15.6" x14ac:dyDescent="0.3">
      <c r="A636" s="59">
        <v>45024</v>
      </c>
      <c r="B636" s="8">
        <v>318.2</v>
      </c>
      <c r="C636" s="15">
        <f>'Ratio Analysis'!$E$23</f>
        <v>11461.538461538463</v>
      </c>
      <c r="D636" s="28">
        <f t="shared" si="9"/>
        <v>2.7762416107382545E-2</v>
      </c>
    </row>
    <row r="637" spans="1:4" ht="15.6" x14ac:dyDescent="0.3">
      <c r="A637" s="59">
        <v>44993</v>
      </c>
      <c r="B637" s="8">
        <v>318.10000000000002</v>
      </c>
      <c r="C637" s="15">
        <f>'Ratio Analysis'!$E$23</f>
        <v>11461.538461538463</v>
      </c>
      <c r="D637" s="28">
        <f t="shared" si="9"/>
        <v>2.7753691275167785E-2</v>
      </c>
    </row>
    <row r="638" spans="1:4" ht="15.6" x14ac:dyDescent="0.3">
      <c r="A638" s="59">
        <v>44965</v>
      </c>
      <c r="B638" s="8">
        <v>321</v>
      </c>
      <c r="C638" s="15">
        <f>'Ratio Analysis'!$E$23</f>
        <v>11461.538461538463</v>
      </c>
      <c r="D638" s="28">
        <f t="shared" si="9"/>
        <v>2.8006711409395969E-2</v>
      </c>
    </row>
    <row r="639" spans="1:4" ht="15.6" x14ac:dyDescent="0.3">
      <c r="A639" s="59">
        <v>44934</v>
      </c>
      <c r="B639" s="8">
        <v>322.25</v>
      </c>
      <c r="C639" s="15">
        <f>'Ratio Analysis'!$E$23</f>
        <v>11461.538461538463</v>
      </c>
      <c r="D639" s="28">
        <f t="shared" si="9"/>
        <v>2.8115771812080532E-2</v>
      </c>
    </row>
    <row r="640" spans="1:4" ht="15.6" x14ac:dyDescent="0.3">
      <c r="A640" s="8" t="s">
        <v>738</v>
      </c>
      <c r="B640" s="8">
        <v>321.95</v>
      </c>
      <c r="C640" s="15">
        <f>'Ratio Analysis'!$E$23</f>
        <v>11461.538461538463</v>
      </c>
      <c r="D640" s="28">
        <f t="shared" si="9"/>
        <v>2.8089597315436237E-2</v>
      </c>
    </row>
    <row r="641" spans="1:4" ht="15.6" x14ac:dyDescent="0.3">
      <c r="A641" s="8" t="s">
        <v>739</v>
      </c>
      <c r="B641" s="8">
        <v>320.14999999999998</v>
      </c>
      <c r="C641" s="15">
        <f>'Ratio Analysis'!$E$23</f>
        <v>11461.538461538463</v>
      </c>
      <c r="D641" s="28">
        <f t="shared" si="9"/>
        <v>2.7932550335570464E-2</v>
      </c>
    </row>
    <row r="642" spans="1:4" ht="15.6" x14ac:dyDescent="0.3">
      <c r="A642" s="8" t="s">
        <v>740</v>
      </c>
      <c r="B642" s="8">
        <v>320.39999999999998</v>
      </c>
      <c r="C642" s="15">
        <f>'Ratio Analysis'!$E$23</f>
        <v>11461.538461538463</v>
      </c>
      <c r="D642" s="28">
        <f t="shared" si="9"/>
        <v>2.7954362416107378E-2</v>
      </c>
    </row>
    <row r="643" spans="1:4" ht="15.6" x14ac:dyDescent="0.3">
      <c r="A643" s="8" t="s">
        <v>741</v>
      </c>
      <c r="B643" s="8">
        <v>319.85000000000002</v>
      </c>
      <c r="C643" s="15">
        <f>'Ratio Analysis'!$E$23</f>
        <v>11461.538461538463</v>
      </c>
      <c r="D643" s="28">
        <f t="shared" si="9"/>
        <v>2.7906375838926172E-2</v>
      </c>
    </row>
    <row r="644" spans="1:4" ht="15.6" x14ac:dyDescent="0.3">
      <c r="A644" s="8" t="s">
        <v>742</v>
      </c>
      <c r="B644" s="8">
        <v>318.05</v>
      </c>
      <c r="C644" s="15">
        <f>'Ratio Analysis'!$E$23</f>
        <v>11461.538461538463</v>
      </c>
      <c r="D644" s="28">
        <f t="shared" si="9"/>
        <v>2.7749328859060399E-2</v>
      </c>
    </row>
    <row r="645" spans="1:4" ht="15.6" x14ac:dyDescent="0.3">
      <c r="A645" s="8" t="s">
        <v>743</v>
      </c>
      <c r="B645" s="8">
        <v>316.55</v>
      </c>
      <c r="C645" s="15">
        <f>'Ratio Analysis'!$E$23</f>
        <v>11461.538461538463</v>
      </c>
      <c r="D645" s="28">
        <f t="shared" si="9"/>
        <v>2.7618456375838926E-2</v>
      </c>
    </row>
    <row r="646" spans="1:4" ht="15.6" x14ac:dyDescent="0.3">
      <c r="A646" s="8" t="s">
        <v>744</v>
      </c>
      <c r="B646" s="8">
        <v>318.14999999999998</v>
      </c>
      <c r="C646" s="15">
        <f>'Ratio Analysis'!$E$23</f>
        <v>11461.538461538463</v>
      </c>
      <c r="D646" s="28">
        <f t="shared" si="9"/>
        <v>2.7758053691275163E-2</v>
      </c>
    </row>
    <row r="647" spans="1:4" ht="15.6" x14ac:dyDescent="0.3">
      <c r="A647" s="8" t="s">
        <v>745</v>
      </c>
      <c r="B647" s="8">
        <v>323.14999999999998</v>
      </c>
      <c r="C647" s="15">
        <f>'Ratio Analysis'!$E$23</f>
        <v>11461.538461538463</v>
      </c>
      <c r="D647" s="28">
        <f t="shared" ref="D647:D710" si="10">B647/C647</f>
        <v>2.8194295302013419E-2</v>
      </c>
    </row>
    <row r="648" spans="1:4" ht="15.6" x14ac:dyDescent="0.3">
      <c r="A648" s="8" t="s">
        <v>746</v>
      </c>
      <c r="B648" s="8">
        <v>323.25</v>
      </c>
      <c r="C648" s="15">
        <f>'Ratio Analysis'!$E$23</f>
        <v>11461.538461538463</v>
      </c>
      <c r="D648" s="28">
        <f t="shared" si="10"/>
        <v>2.8203020134228186E-2</v>
      </c>
    </row>
    <row r="649" spans="1:4" ht="15.6" x14ac:dyDescent="0.3">
      <c r="A649" s="8" t="s">
        <v>747</v>
      </c>
      <c r="B649" s="8">
        <v>320.3</v>
      </c>
      <c r="C649" s="15">
        <f>'Ratio Analysis'!$E$23</f>
        <v>11461.538461538463</v>
      </c>
      <c r="D649" s="28">
        <f t="shared" si="10"/>
        <v>2.7945637583892614E-2</v>
      </c>
    </row>
    <row r="650" spans="1:4" ht="15.6" x14ac:dyDescent="0.3">
      <c r="A650" s="8" t="s">
        <v>748</v>
      </c>
      <c r="B650" s="8">
        <v>323.95</v>
      </c>
      <c r="C650" s="15">
        <f>'Ratio Analysis'!$E$23</f>
        <v>11461.538461538463</v>
      </c>
      <c r="D650" s="28">
        <f t="shared" si="10"/>
        <v>2.8264093959731538E-2</v>
      </c>
    </row>
    <row r="651" spans="1:4" ht="15.6" x14ac:dyDescent="0.3">
      <c r="A651" s="8" t="s">
        <v>749</v>
      </c>
      <c r="B651" s="8">
        <v>328.55</v>
      </c>
      <c r="C651" s="15">
        <f>'Ratio Analysis'!$E$23</f>
        <v>11461.538461538463</v>
      </c>
      <c r="D651" s="28">
        <f t="shared" si="10"/>
        <v>2.8665436241610737E-2</v>
      </c>
    </row>
    <row r="652" spans="1:4" ht="15.6" x14ac:dyDescent="0.3">
      <c r="A652" s="8" t="s">
        <v>750</v>
      </c>
      <c r="B652" s="8">
        <v>330.7</v>
      </c>
      <c r="C652" s="15">
        <f>'Ratio Analysis'!$E$23</f>
        <v>11461.538461538463</v>
      </c>
      <c r="D652" s="28">
        <f t="shared" si="10"/>
        <v>2.8853020134228184E-2</v>
      </c>
    </row>
    <row r="653" spans="1:4" ht="15.6" x14ac:dyDescent="0.3">
      <c r="A653" s="59">
        <v>45267</v>
      </c>
      <c r="B653" s="8">
        <v>332.65</v>
      </c>
      <c r="C653" s="15">
        <f>'Ratio Analysis'!$E$23</f>
        <v>11461.538461538463</v>
      </c>
      <c r="D653" s="28">
        <f t="shared" si="10"/>
        <v>2.9023154362416103E-2</v>
      </c>
    </row>
    <row r="654" spans="1:4" ht="15.6" x14ac:dyDescent="0.3">
      <c r="A654" s="59">
        <v>45237</v>
      </c>
      <c r="B654" s="8">
        <v>330.95</v>
      </c>
      <c r="C654" s="15">
        <f>'Ratio Analysis'!$E$23</f>
        <v>11461.538461538463</v>
      </c>
      <c r="D654" s="28">
        <f t="shared" si="10"/>
        <v>2.8874832214765098E-2</v>
      </c>
    </row>
    <row r="655" spans="1:4" ht="15.6" x14ac:dyDescent="0.3">
      <c r="A655" s="59">
        <v>45206</v>
      </c>
      <c r="B655" s="8">
        <v>327.85</v>
      </c>
      <c r="C655" s="15">
        <f>'Ratio Analysis'!$E$23</f>
        <v>11461.538461538463</v>
      </c>
      <c r="D655" s="28">
        <f t="shared" si="10"/>
        <v>2.8604362416107382E-2</v>
      </c>
    </row>
    <row r="656" spans="1:4" ht="15.6" x14ac:dyDescent="0.3">
      <c r="A656" s="59">
        <v>45114</v>
      </c>
      <c r="B656" s="8">
        <v>340.6</v>
      </c>
      <c r="C656" s="15">
        <f>'Ratio Analysis'!$E$23</f>
        <v>11461.538461538463</v>
      </c>
      <c r="D656" s="28">
        <f t="shared" si="10"/>
        <v>2.9716778523489931E-2</v>
      </c>
    </row>
    <row r="657" spans="1:4" ht="15.6" x14ac:dyDescent="0.3">
      <c r="A657" s="59">
        <v>45084</v>
      </c>
      <c r="B657" s="8">
        <v>335.95</v>
      </c>
      <c r="C657" s="15">
        <f>'Ratio Analysis'!$E$23</f>
        <v>11461.538461538463</v>
      </c>
      <c r="D657" s="28">
        <f t="shared" si="10"/>
        <v>2.9311073825503353E-2</v>
      </c>
    </row>
    <row r="658" spans="1:4" ht="15.6" x14ac:dyDescent="0.3">
      <c r="A658" s="59">
        <v>45053</v>
      </c>
      <c r="B658" s="8">
        <v>311.5</v>
      </c>
      <c r="C658" s="15">
        <f>'Ratio Analysis'!$E$23</f>
        <v>11461.538461538463</v>
      </c>
      <c r="D658" s="28">
        <f t="shared" si="10"/>
        <v>2.7177852348993285E-2</v>
      </c>
    </row>
    <row r="659" spans="1:4" ht="15.6" x14ac:dyDescent="0.3">
      <c r="A659" s="59">
        <v>45023</v>
      </c>
      <c r="B659" s="8">
        <v>310.75</v>
      </c>
      <c r="C659" s="15">
        <f>'Ratio Analysis'!$E$23</f>
        <v>11461.538461538463</v>
      </c>
      <c r="D659" s="28">
        <f t="shared" si="10"/>
        <v>2.7112416107382548E-2</v>
      </c>
    </row>
    <row r="660" spans="1:4" ht="15.6" x14ac:dyDescent="0.3">
      <c r="A660" s="59">
        <v>44992</v>
      </c>
      <c r="B660" s="8">
        <v>309.55</v>
      </c>
      <c r="C660" s="15">
        <f>'Ratio Analysis'!$E$23</f>
        <v>11461.538461538463</v>
      </c>
      <c r="D660" s="28">
        <f t="shared" si="10"/>
        <v>2.7007718120805366E-2</v>
      </c>
    </row>
    <row r="661" spans="1:4" ht="15.6" x14ac:dyDescent="0.3">
      <c r="A661" s="8" t="s">
        <v>751</v>
      </c>
      <c r="B661" s="8">
        <v>307.35000000000002</v>
      </c>
      <c r="C661" s="15">
        <f>'Ratio Analysis'!$E$23</f>
        <v>11461.538461538463</v>
      </c>
      <c r="D661" s="28">
        <f t="shared" si="10"/>
        <v>2.6815771812080537E-2</v>
      </c>
    </row>
    <row r="662" spans="1:4" ht="15.6" x14ac:dyDescent="0.3">
      <c r="A662" s="8" t="s">
        <v>752</v>
      </c>
      <c r="B662" s="8">
        <v>306.89999999999998</v>
      </c>
      <c r="C662" s="15">
        <f>'Ratio Analysis'!$E$23</f>
        <v>11461.538461538463</v>
      </c>
      <c r="D662" s="28">
        <f t="shared" si="10"/>
        <v>2.6776510067114088E-2</v>
      </c>
    </row>
    <row r="663" spans="1:4" ht="15.6" x14ac:dyDescent="0.3">
      <c r="A663" s="8" t="s">
        <v>753</v>
      </c>
      <c r="B663" s="8">
        <v>305.25</v>
      </c>
      <c r="C663" s="15">
        <f>'Ratio Analysis'!$E$23</f>
        <v>11461.538461538463</v>
      </c>
      <c r="D663" s="28">
        <f t="shared" si="10"/>
        <v>2.6632550335570465E-2</v>
      </c>
    </row>
    <row r="664" spans="1:4" ht="15.6" x14ac:dyDescent="0.3">
      <c r="A664" s="8" t="s">
        <v>754</v>
      </c>
      <c r="B664" s="8">
        <v>307</v>
      </c>
      <c r="C664" s="15">
        <f>'Ratio Analysis'!$E$23</f>
        <v>11461.538461538463</v>
      </c>
      <c r="D664" s="28">
        <f t="shared" si="10"/>
        <v>2.6785234899328856E-2</v>
      </c>
    </row>
    <row r="665" spans="1:4" ht="15.6" x14ac:dyDescent="0.3">
      <c r="A665" s="8" t="s">
        <v>755</v>
      </c>
      <c r="B665" s="8">
        <v>308.45</v>
      </c>
      <c r="C665" s="15">
        <f>'Ratio Analysis'!$E$23</f>
        <v>11461.538461538463</v>
      </c>
      <c r="D665" s="28">
        <f t="shared" si="10"/>
        <v>2.6911744966442948E-2</v>
      </c>
    </row>
    <row r="666" spans="1:4" ht="15.6" x14ac:dyDescent="0.3">
      <c r="A666" s="8" t="s">
        <v>756</v>
      </c>
      <c r="B666" s="8">
        <v>310.7</v>
      </c>
      <c r="C666" s="15">
        <f>'Ratio Analysis'!$E$23</f>
        <v>11461.538461538463</v>
      </c>
      <c r="D666" s="28">
        <f t="shared" si="10"/>
        <v>2.7108053691275162E-2</v>
      </c>
    </row>
    <row r="667" spans="1:4" ht="15.6" x14ac:dyDescent="0.3">
      <c r="A667" s="8" t="s">
        <v>757</v>
      </c>
      <c r="B667" s="8">
        <v>307.89999999999998</v>
      </c>
      <c r="C667" s="15">
        <f>'Ratio Analysis'!$E$23</f>
        <v>11461.538461538463</v>
      </c>
      <c r="D667" s="28">
        <f t="shared" si="10"/>
        <v>2.6863758389261739E-2</v>
      </c>
    </row>
    <row r="668" spans="1:4" ht="15.6" x14ac:dyDescent="0.3">
      <c r="A668" s="8" t="s">
        <v>758</v>
      </c>
      <c r="B668" s="8">
        <v>308.10000000000002</v>
      </c>
      <c r="C668" s="15">
        <f>'Ratio Analysis'!$E$23</f>
        <v>11461.538461538463</v>
      </c>
      <c r="D668" s="28">
        <f t="shared" si="10"/>
        <v>2.6881208053691274E-2</v>
      </c>
    </row>
    <row r="669" spans="1:4" ht="15.6" x14ac:dyDescent="0.3">
      <c r="A669" s="8" t="s">
        <v>759</v>
      </c>
      <c r="B669" s="8">
        <v>307.10000000000002</v>
      </c>
      <c r="C669" s="15">
        <f>'Ratio Analysis'!$E$23</f>
        <v>11461.538461538463</v>
      </c>
      <c r="D669" s="28">
        <f t="shared" si="10"/>
        <v>2.6793959731543623E-2</v>
      </c>
    </row>
    <row r="670" spans="1:4" ht="15.6" x14ac:dyDescent="0.3">
      <c r="A670" s="8" t="s">
        <v>760</v>
      </c>
      <c r="B670" s="8">
        <v>304.5</v>
      </c>
      <c r="C670" s="15">
        <f>'Ratio Analysis'!$E$23</f>
        <v>11461.538461538463</v>
      </c>
      <c r="D670" s="28">
        <f t="shared" si="10"/>
        <v>2.6567114093959728E-2</v>
      </c>
    </row>
    <row r="671" spans="1:4" ht="15.6" x14ac:dyDescent="0.3">
      <c r="A671" s="8" t="s">
        <v>761</v>
      </c>
      <c r="B671" s="8">
        <v>303.89999999999998</v>
      </c>
      <c r="C671" s="15">
        <f>'Ratio Analysis'!$E$23</f>
        <v>11461.538461538463</v>
      </c>
      <c r="D671" s="28">
        <f t="shared" si="10"/>
        <v>2.6514765100671137E-2</v>
      </c>
    </row>
    <row r="672" spans="1:4" ht="15.6" x14ac:dyDescent="0.3">
      <c r="A672" s="8" t="s">
        <v>762</v>
      </c>
      <c r="B672" s="8">
        <v>302.14999999999998</v>
      </c>
      <c r="C672" s="15">
        <f>'Ratio Analysis'!$E$23</f>
        <v>11461.538461538463</v>
      </c>
      <c r="D672" s="28">
        <f t="shared" si="10"/>
        <v>2.6362080536912746E-2</v>
      </c>
    </row>
    <row r="673" spans="1:4" ht="15.6" x14ac:dyDescent="0.3">
      <c r="A673" s="8" t="s">
        <v>763</v>
      </c>
      <c r="B673" s="8">
        <v>303.85000000000002</v>
      </c>
      <c r="C673" s="15">
        <f>'Ratio Analysis'!$E$23</f>
        <v>11461.538461538463</v>
      </c>
      <c r="D673" s="28">
        <f t="shared" si="10"/>
        <v>2.6510402684563759E-2</v>
      </c>
    </row>
    <row r="674" spans="1:4" ht="15.6" x14ac:dyDescent="0.3">
      <c r="A674" s="59">
        <v>45266</v>
      </c>
      <c r="B674" s="8">
        <v>298.95</v>
      </c>
      <c r="C674" s="15">
        <f>'Ratio Analysis'!$E$23</f>
        <v>11461.538461538463</v>
      </c>
      <c r="D674" s="28">
        <f t="shared" si="10"/>
        <v>2.6082885906040264E-2</v>
      </c>
    </row>
    <row r="675" spans="1:4" ht="15.6" x14ac:dyDescent="0.3">
      <c r="A675" s="59">
        <v>45175</v>
      </c>
      <c r="B675" s="8">
        <v>300.55</v>
      </c>
      <c r="C675" s="15">
        <f>'Ratio Analysis'!$E$23</f>
        <v>11461.538461538463</v>
      </c>
      <c r="D675" s="28">
        <f t="shared" si="10"/>
        <v>2.6222483221476509E-2</v>
      </c>
    </row>
    <row r="676" spans="1:4" ht="15.6" x14ac:dyDescent="0.3">
      <c r="A676" s="59">
        <v>45144</v>
      </c>
      <c r="B676" s="8">
        <v>304.2</v>
      </c>
      <c r="C676" s="15">
        <f>'Ratio Analysis'!$E$23</f>
        <v>11461.538461538463</v>
      </c>
      <c r="D676" s="28">
        <f t="shared" si="10"/>
        <v>2.6540939597315433E-2</v>
      </c>
    </row>
    <row r="677" spans="1:4" ht="15.6" x14ac:dyDescent="0.3">
      <c r="A677" s="59">
        <v>45113</v>
      </c>
      <c r="B677" s="8">
        <v>305.45</v>
      </c>
      <c r="C677" s="15">
        <f>'Ratio Analysis'!$E$23</f>
        <v>11461.538461538463</v>
      </c>
      <c r="D677" s="28">
        <f t="shared" si="10"/>
        <v>2.6649999999999997E-2</v>
      </c>
    </row>
    <row r="678" spans="1:4" ht="15.6" x14ac:dyDescent="0.3">
      <c r="A678" s="59">
        <v>45083</v>
      </c>
      <c r="B678" s="8">
        <v>307.05</v>
      </c>
      <c r="C678" s="15">
        <f>'Ratio Analysis'!$E$23</f>
        <v>11461.538461538463</v>
      </c>
      <c r="D678" s="28">
        <f t="shared" si="10"/>
        <v>2.6789597315436238E-2</v>
      </c>
    </row>
    <row r="679" spans="1:4" ht="15.6" x14ac:dyDescent="0.3">
      <c r="A679" s="59">
        <v>45052</v>
      </c>
      <c r="B679" s="8">
        <v>306.89999999999998</v>
      </c>
      <c r="C679" s="15">
        <f>'Ratio Analysis'!$E$23</f>
        <v>11461.538461538463</v>
      </c>
      <c r="D679" s="28">
        <f t="shared" si="10"/>
        <v>2.6776510067114088E-2</v>
      </c>
    </row>
    <row r="680" spans="1:4" ht="15.6" x14ac:dyDescent="0.3">
      <c r="A680" s="59">
        <v>44963</v>
      </c>
      <c r="B680" s="8">
        <v>306.5</v>
      </c>
      <c r="C680" s="15">
        <f>'Ratio Analysis'!$E$23</f>
        <v>11461.538461538463</v>
      </c>
      <c r="D680" s="28">
        <f t="shared" si="10"/>
        <v>2.6741610738255029E-2</v>
      </c>
    </row>
    <row r="681" spans="1:4" ht="15.6" x14ac:dyDescent="0.3">
      <c r="A681" s="59">
        <v>44932</v>
      </c>
      <c r="B681" s="8">
        <v>305.64999999999998</v>
      </c>
      <c r="C681" s="15">
        <f>'Ratio Analysis'!$E$23</f>
        <v>11461.538461538463</v>
      </c>
      <c r="D681" s="28">
        <f t="shared" si="10"/>
        <v>2.6667449664429525E-2</v>
      </c>
    </row>
    <row r="682" spans="1:4" ht="15.6" x14ac:dyDescent="0.3">
      <c r="A682" s="8" t="s">
        <v>764</v>
      </c>
      <c r="B682" s="8">
        <v>306</v>
      </c>
      <c r="C682" s="15">
        <f>'Ratio Analysis'!$E$23</f>
        <v>11461.538461538463</v>
      </c>
      <c r="D682" s="28">
        <f t="shared" si="10"/>
        <v>2.6697986577181206E-2</v>
      </c>
    </row>
    <row r="683" spans="1:4" ht="15.6" x14ac:dyDescent="0.3">
      <c r="A683" s="8" t="s">
        <v>765</v>
      </c>
      <c r="B683" s="8">
        <v>306.64999999999998</v>
      </c>
      <c r="C683" s="15">
        <f>'Ratio Analysis'!$E$23</f>
        <v>11461.538461538463</v>
      </c>
      <c r="D683" s="28">
        <f t="shared" si="10"/>
        <v>2.6754697986577175E-2</v>
      </c>
    </row>
    <row r="684" spans="1:4" ht="15.6" x14ac:dyDescent="0.3">
      <c r="A684" s="8" t="s">
        <v>766</v>
      </c>
      <c r="B684" s="8">
        <v>306.7</v>
      </c>
      <c r="C684" s="15">
        <f>'Ratio Analysis'!$E$23</f>
        <v>11461.538461538463</v>
      </c>
      <c r="D684" s="28">
        <f t="shared" si="10"/>
        <v>2.675906040268456E-2</v>
      </c>
    </row>
    <row r="685" spans="1:4" ht="15.6" x14ac:dyDescent="0.3">
      <c r="A685" s="8" t="s">
        <v>767</v>
      </c>
      <c r="B685" s="8">
        <v>305.60000000000002</v>
      </c>
      <c r="C685" s="15">
        <f>'Ratio Analysis'!$E$23</f>
        <v>11461.538461538463</v>
      </c>
      <c r="D685" s="28">
        <f t="shared" si="10"/>
        <v>2.6663087248322146E-2</v>
      </c>
    </row>
    <row r="686" spans="1:4" ht="15.6" x14ac:dyDescent="0.3">
      <c r="A686" s="8" t="s">
        <v>768</v>
      </c>
      <c r="B686" s="8">
        <v>304.89999999999998</v>
      </c>
      <c r="C686" s="15">
        <f>'Ratio Analysis'!$E$23</f>
        <v>11461.538461538463</v>
      </c>
      <c r="D686" s="28">
        <f t="shared" si="10"/>
        <v>2.6602013422818788E-2</v>
      </c>
    </row>
    <row r="687" spans="1:4" ht="15.6" x14ac:dyDescent="0.3">
      <c r="A687" s="8" t="s">
        <v>769</v>
      </c>
      <c r="B687" s="8">
        <v>306.55</v>
      </c>
      <c r="C687" s="15">
        <f>'Ratio Analysis'!$E$23</f>
        <v>11461.538461538463</v>
      </c>
      <c r="D687" s="28">
        <f t="shared" si="10"/>
        <v>2.6745973154362414E-2</v>
      </c>
    </row>
    <row r="688" spans="1:4" ht="15.6" x14ac:dyDescent="0.3">
      <c r="A688" s="8" t="s">
        <v>770</v>
      </c>
      <c r="B688" s="8">
        <v>307.55</v>
      </c>
      <c r="C688" s="15">
        <f>'Ratio Analysis'!$E$23</f>
        <v>11461.538461538463</v>
      </c>
      <c r="D688" s="28">
        <f t="shared" si="10"/>
        <v>2.6833221476510065E-2</v>
      </c>
    </row>
    <row r="689" spans="1:4" ht="15.6" x14ac:dyDescent="0.3">
      <c r="A689" s="8" t="s">
        <v>771</v>
      </c>
      <c r="B689" s="8">
        <v>308.7</v>
      </c>
      <c r="C689" s="15">
        <f>'Ratio Analysis'!$E$23</f>
        <v>11461.538461538463</v>
      </c>
      <c r="D689" s="28">
        <f t="shared" si="10"/>
        <v>2.6933557046979861E-2</v>
      </c>
    </row>
    <row r="690" spans="1:4" ht="15.6" x14ac:dyDescent="0.3">
      <c r="A690" s="8" t="s">
        <v>772</v>
      </c>
      <c r="B690" s="8">
        <v>308.35000000000002</v>
      </c>
      <c r="C690" s="15">
        <f>'Ratio Analysis'!$E$23</f>
        <v>11461.538461538463</v>
      </c>
      <c r="D690" s="28">
        <f t="shared" si="10"/>
        <v>2.6903020134228187E-2</v>
      </c>
    </row>
    <row r="691" spans="1:4" ht="15.6" x14ac:dyDescent="0.3">
      <c r="A691" s="8" t="s">
        <v>773</v>
      </c>
      <c r="B691" s="8">
        <v>310.3</v>
      </c>
      <c r="C691" s="15">
        <f>'Ratio Analysis'!$E$23</f>
        <v>11461.538461538463</v>
      </c>
      <c r="D691" s="28">
        <f t="shared" si="10"/>
        <v>2.7073154362416106E-2</v>
      </c>
    </row>
    <row r="692" spans="1:4" ht="15.6" x14ac:dyDescent="0.3">
      <c r="A692" s="8" t="s">
        <v>774</v>
      </c>
      <c r="B692" s="8">
        <v>312.35000000000002</v>
      </c>
      <c r="C692" s="15">
        <f>'Ratio Analysis'!$E$23</f>
        <v>11461.538461538463</v>
      </c>
      <c r="D692" s="28">
        <f t="shared" si="10"/>
        <v>2.7252013422818792E-2</v>
      </c>
    </row>
    <row r="693" spans="1:4" ht="15.6" x14ac:dyDescent="0.3">
      <c r="A693" s="8" t="s">
        <v>775</v>
      </c>
      <c r="B693" s="8">
        <v>310.55</v>
      </c>
      <c r="C693" s="15">
        <f>'Ratio Analysis'!$E$23</f>
        <v>11461.538461538463</v>
      </c>
      <c r="D693" s="28">
        <f t="shared" si="10"/>
        <v>2.709496644295302E-2</v>
      </c>
    </row>
    <row r="694" spans="1:4" ht="15.6" x14ac:dyDescent="0.3">
      <c r="A694" s="8" t="s">
        <v>776</v>
      </c>
      <c r="B694" s="8">
        <v>309.7</v>
      </c>
      <c r="C694" s="15">
        <f>'Ratio Analysis'!$E$23</f>
        <v>11461.538461538463</v>
      </c>
      <c r="D694" s="28">
        <f t="shared" si="10"/>
        <v>2.7020805369127512E-2</v>
      </c>
    </row>
    <row r="695" spans="1:4" ht="15.6" x14ac:dyDescent="0.3">
      <c r="A695" s="59">
        <v>45265</v>
      </c>
      <c r="B695" s="8">
        <v>310.35000000000002</v>
      </c>
      <c r="C695" s="15">
        <f>'Ratio Analysis'!$E$23</f>
        <v>11461.538461538463</v>
      </c>
      <c r="D695" s="28">
        <f t="shared" si="10"/>
        <v>2.7077516778523488E-2</v>
      </c>
    </row>
    <row r="696" spans="1:4" ht="15.6" x14ac:dyDescent="0.3">
      <c r="A696" s="59">
        <v>45235</v>
      </c>
      <c r="B696" s="8">
        <v>313.7</v>
      </c>
      <c r="C696" s="15">
        <f>'Ratio Analysis'!$E$23</f>
        <v>11461.538461538463</v>
      </c>
      <c r="D696" s="28">
        <f t="shared" si="10"/>
        <v>2.7369798657718117E-2</v>
      </c>
    </row>
    <row r="697" spans="1:4" ht="15.6" x14ac:dyDescent="0.3">
      <c r="A697" s="59">
        <v>45204</v>
      </c>
      <c r="B697" s="8">
        <v>314.3</v>
      </c>
      <c r="C697" s="15">
        <f>'Ratio Analysis'!$E$23</f>
        <v>11461.538461538463</v>
      </c>
      <c r="D697" s="28">
        <f t="shared" si="10"/>
        <v>2.7422147651006708E-2</v>
      </c>
    </row>
    <row r="698" spans="1:4" ht="15.6" x14ac:dyDescent="0.3">
      <c r="A698" s="59">
        <v>45174</v>
      </c>
      <c r="B698" s="8">
        <v>314.2</v>
      </c>
      <c r="C698" s="15">
        <f>'Ratio Analysis'!$E$23</f>
        <v>11461.538461538463</v>
      </c>
      <c r="D698" s="28">
        <f t="shared" si="10"/>
        <v>2.7413422818791944E-2</v>
      </c>
    </row>
    <row r="699" spans="1:4" ht="15.6" x14ac:dyDescent="0.3">
      <c r="A699" s="59">
        <v>45143</v>
      </c>
      <c r="B699" s="8">
        <v>313.45</v>
      </c>
      <c r="C699" s="15">
        <f>'Ratio Analysis'!$E$23</f>
        <v>11461.538461538463</v>
      </c>
      <c r="D699" s="28">
        <f t="shared" si="10"/>
        <v>2.7347986577181203E-2</v>
      </c>
    </row>
    <row r="700" spans="1:4" ht="15.6" x14ac:dyDescent="0.3">
      <c r="A700" s="59">
        <v>45051</v>
      </c>
      <c r="B700" s="8">
        <v>311.5</v>
      </c>
      <c r="C700" s="15">
        <f>'Ratio Analysis'!$E$23</f>
        <v>11461.538461538463</v>
      </c>
      <c r="D700" s="28">
        <f t="shared" si="10"/>
        <v>2.7177852348993285E-2</v>
      </c>
    </row>
    <row r="701" spans="1:4" ht="15.6" x14ac:dyDescent="0.3">
      <c r="A701" s="59">
        <v>45021</v>
      </c>
      <c r="B701" s="8">
        <v>312.64999999999998</v>
      </c>
      <c r="C701" s="15">
        <f>'Ratio Analysis'!$E$23</f>
        <v>11461.538461538463</v>
      </c>
      <c r="D701" s="28">
        <f t="shared" si="10"/>
        <v>2.7278187919463081E-2</v>
      </c>
    </row>
    <row r="702" spans="1:4" ht="15.6" x14ac:dyDescent="0.3">
      <c r="A702" s="59">
        <v>44990</v>
      </c>
      <c r="B702" s="8">
        <v>314.35000000000002</v>
      </c>
      <c r="C702" s="15">
        <f>'Ratio Analysis'!$E$23</f>
        <v>11461.538461538463</v>
      </c>
      <c r="D702" s="28">
        <f t="shared" si="10"/>
        <v>2.7426510067114093E-2</v>
      </c>
    </row>
    <row r="703" spans="1:4" ht="15.6" x14ac:dyDescent="0.3">
      <c r="A703" s="59">
        <v>44962</v>
      </c>
      <c r="B703" s="8">
        <v>315.2</v>
      </c>
      <c r="C703" s="15">
        <f>'Ratio Analysis'!$E$23</f>
        <v>11461.538461538463</v>
      </c>
      <c r="D703" s="28">
        <f t="shared" si="10"/>
        <v>2.7500671140939594E-2</v>
      </c>
    </row>
    <row r="704" spans="1:4" ht="15.6" x14ac:dyDescent="0.3">
      <c r="A704" s="8" t="s">
        <v>777</v>
      </c>
      <c r="B704" s="8">
        <v>314.35000000000002</v>
      </c>
      <c r="C704" s="15">
        <f>'Ratio Analysis'!$D$23</f>
        <v>10788.165680473374</v>
      </c>
      <c r="D704" s="28">
        <f t="shared" si="10"/>
        <v>2.9138410487055726E-2</v>
      </c>
    </row>
    <row r="705" spans="1:4" ht="15.6" x14ac:dyDescent="0.3">
      <c r="A705" s="8" t="s">
        <v>778</v>
      </c>
      <c r="B705" s="8">
        <v>310.3</v>
      </c>
      <c r="C705" s="15">
        <f>'Ratio Analysis'!$D$23</f>
        <v>10788.165680473374</v>
      </c>
      <c r="D705" s="28">
        <f t="shared" si="10"/>
        <v>2.8762999122422112E-2</v>
      </c>
    </row>
    <row r="706" spans="1:4" ht="15.6" x14ac:dyDescent="0.3">
      <c r="A706" s="8" t="s">
        <v>779</v>
      </c>
      <c r="B706" s="8">
        <v>313.2</v>
      </c>
      <c r="C706" s="15">
        <f>'Ratio Analysis'!$D$23</f>
        <v>10788.165680473374</v>
      </c>
      <c r="D706" s="28">
        <f t="shared" si="10"/>
        <v>2.9031812198332597E-2</v>
      </c>
    </row>
    <row r="707" spans="1:4" ht="15.6" x14ac:dyDescent="0.3">
      <c r="A707" s="8" t="s">
        <v>780</v>
      </c>
      <c r="B707" s="8">
        <v>316.85000000000002</v>
      </c>
      <c r="C707" s="15">
        <f>'Ratio Analysis'!$D$23</f>
        <v>10788.165680473374</v>
      </c>
      <c r="D707" s="28">
        <f t="shared" si="10"/>
        <v>2.9370145897323386E-2</v>
      </c>
    </row>
    <row r="708" spans="1:4" ht="15.6" x14ac:dyDescent="0.3">
      <c r="A708" s="8" t="s">
        <v>781</v>
      </c>
      <c r="B708" s="8">
        <v>318.45</v>
      </c>
      <c r="C708" s="15">
        <f>'Ratio Analysis'!$D$23</f>
        <v>10788.165680473374</v>
      </c>
      <c r="D708" s="28">
        <f t="shared" si="10"/>
        <v>2.9518456559894688E-2</v>
      </c>
    </row>
    <row r="709" spans="1:4" ht="15.6" x14ac:dyDescent="0.3">
      <c r="A709" s="8" t="s">
        <v>782</v>
      </c>
      <c r="B709" s="8">
        <v>324.60000000000002</v>
      </c>
      <c r="C709" s="15">
        <f>'Ratio Analysis'!$D$23</f>
        <v>10788.165680473374</v>
      </c>
      <c r="D709" s="28">
        <f t="shared" si="10"/>
        <v>3.0088525669153137E-2</v>
      </c>
    </row>
    <row r="710" spans="1:4" ht="15.6" x14ac:dyDescent="0.3">
      <c r="A710" s="8" t="s">
        <v>783</v>
      </c>
      <c r="B710" s="8">
        <v>327.55</v>
      </c>
      <c r="C710" s="15">
        <f>'Ratio Analysis'!$D$23</f>
        <v>10788.165680473374</v>
      </c>
      <c r="D710" s="28">
        <f t="shared" si="10"/>
        <v>3.0361973453268975E-2</v>
      </c>
    </row>
    <row r="711" spans="1:4" ht="15.6" x14ac:dyDescent="0.3">
      <c r="A711" s="8" t="s">
        <v>784</v>
      </c>
      <c r="B711" s="8">
        <v>324.45</v>
      </c>
      <c r="C711" s="15">
        <f>'Ratio Analysis'!$D$23</f>
        <v>10788.165680473374</v>
      </c>
      <c r="D711" s="28">
        <f t="shared" ref="D711:D749" si="11">B711/C711</f>
        <v>3.0074621544537074E-2</v>
      </c>
    </row>
    <row r="712" spans="1:4" ht="15.6" x14ac:dyDescent="0.3">
      <c r="A712" s="8" t="s">
        <v>785</v>
      </c>
      <c r="B712" s="8">
        <v>323.3</v>
      </c>
      <c r="C712" s="15">
        <f>'Ratio Analysis'!$D$23</f>
        <v>10788.165680473374</v>
      </c>
      <c r="D712" s="28">
        <f t="shared" si="11"/>
        <v>2.9968023255813953E-2</v>
      </c>
    </row>
    <row r="713" spans="1:4" ht="15.6" x14ac:dyDescent="0.3">
      <c r="A713" s="8" t="s">
        <v>786</v>
      </c>
      <c r="B713" s="8">
        <v>318.85000000000002</v>
      </c>
      <c r="C713" s="15">
        <f>'Ratio Analysis'!$D$23</f>
        <v>10788.165680473374</v>
      </c>
      <c r="D713" s="28">
        <f t="shared" si="11"/>
        <v>2.9555534225537517E-2</v>
      </c>
    </row>
    <row r="714" spans="1:4" ht="15.6" x14ac:dyDescent="0.3">
      <c r="A714" s="8" t="s">
        <v>787</v>
      </c>
      <c r="B714" s="8">
        <v>319.7</v>
      </c>
      <c r="C714" s="15">
        <f>'Ratio Analysis'!$D$23</f>
        <v>10788.165680473374</v>
      </c>
      <c r="D714" s="28">
        <f t="shared" si="11"/>
        <v>2.9634324265028517E-2</v>
      </c>
    </row>
    <row r="715" spans="1:4" ht="15.6" x14ac:dyDescent="0.3">
      <c r="A715" s="59">
        <v>45264</v>
      </c>
      <c r="B715" s="8">
        <v>313.25</v>
      </c>
      <c r="C715" s="15">
        <f>'Ratio Analysis'!$D$23</f>
        <v>10788.165680473374</v>
      </c>
      <c r="D715" s="28">
        <f t="shared" si="11"/>
        <v>2.9036446906537953E-2</v>
      </c>
    </row>
    <row r="716" spans="1:4" ht="15.6" x14ac:dyDescent="0.3">
      <c r="A716" s="59">
        <v>45234</v>
      </c>
      <c r="B716" s="8">
        <v>312.05</v>
      </c>
      <c r="C716" s="15">
        <f>'Ratio Analysis'!$D$23</f>
        <v>10788.165680473374</v>
      </c>
      <c r="D716" s="28">
        <f t="shared" si="11"/>
        <v>2.8925213909609476E-2</v>
      </c>
    </row>
    <row r="717" spans="1:4" ht="15.6" x14ac:dyDescent="0.3">
      <c r="A717" s="59">
        <v>45203</v>
      </c>
      <c r="B717" s="8">
        <v>312.8</v>
      </c>
      <c r="C717" s="15">
        <f>'Ratio Analysis'!$D$23</f>
        <v>10788.165680473374</v>
      </c>
      <c r="D717" s="28">
        <f t="shared" si="11"/>
        <v>2.8994734532689775E-2</v>
      </c>
    </row>
    <row r="718" spans="1:4" ht="15.6" x14ac:dyDescent="0.3">
      <c r="A718" s="59">
        <v>45081</v>
      </c>
      <c r="B718" s="8">
        <v>311.3</v>
      </c>
      <c r="C718" s="15">
        <f>'Ratio Analysis'!$D$23</f>
        <v>10788.165680473374</v>
      </c>
      <c r="D718" s="28">
        <f t="shared" si="11"/>
        <v>2.8855693286529177E-2</v>
      </c>
    </row>
    <row r="719" spans="1:4" ht="15.6" x14ac:dyDescent="0.3">
      <c r="A719" s="59">
        <v>45050</v>
      </c>
      <c r="B719" s="8">
        <v>305.7</v>
      </c>
      <c r="C719" s="15">
        <f>'Ratio Analysis'!$D$23</f>
        <v>10788.165680473374</v>
      </c>
      <c r="D719" s="28">
        <f t="shared" si="11"/>
        <v>2.8336605967529613E-2</v>
      </c>
    </row>
    <row r="720" spans="1:4" ht="15.6" x14ac:dyDescent="0.3">
      <c r="A720" s="59">
        <v>44989</v>
      </c>
      <c r="B720" s="8">
        <v>298.2</v>
      </c>
      <c r="C720" s="15">
        <f>'Ratio Analysis'!$D$23</f>
        <v>10788.165680473374</v>
      </c>
      <c r="D720" s="28">
        <f t="shared" si="11"/>
        <v>2.7641399736726632E-2</v>
      </c>
    </row>
    <row r="721" spans="1:4" ht="15.6" x14ac:dyDescent="0.3">
      <c r="A721" s="8" t="s">
        <v>788</v>
      </c>
      <c r="B721" s="8">
        <v>293.35000000000002</v>
      </c>
      <c r="C721" s="15">
        <f>'Ratio Analysis'!$D$23</f>
        <v>10788.165680473374</v>
      </c>
      <c r="D721" s="28">
        <f t="shared" si="11"/>
        <v>2.719183304080737E-2</v>
      </c>
    </row>
    <row r="722" spans="1:4" ht="15.6" x14ac:dyDescent="0.3">
      <c r="A722" s="8" t="s">
        <v>789</v>
      </c>
      <c r="B722" s="8">
        <v>299</v>
      </c>
      <c r="C722" s="15">
        <f>'Ratio Analysis'!$D$23</f>
        <v>10788.165680473374</v>
      </c>
      <c r="D722" s="28">
        <f t="shared" si="11"/>
        <v>2.7715555068012283E-2</v>
      </c>
    </row>
    <row r="723" spans="1:4" ht="15.6" x14ac:dyDescent="0.3">
      <c r="A723" s="8" t="s">
        <v>790</v>
      </c>
      <c r="B723" s="8">
        <v>328.8</v>
      </c>
      <c r="C723" s="15">
        <f>'Ratio Analysis'!$D$23</f>
        <v>10788.165680473374</v>
      </c>
      <c r="D723" s="28">
        <f t="shared" si="11"/>
        <v>3.0477841158402807E-2</v>
      </c>
    </row>
    <row r="724" spans="1:4" ht="15.6" x14ac:dyDescent="0.3">
      <c r="A724" s="8" t="s">
        <v>791</v>
      </c>
      <c r="B724" s="8">
        <v>329.1</v>
      </c>
      <c r="C724" s="15">
        <f>'Ratio Analysis'!$D$23</f>
        <v>10788.165680473374</v>
      </c>
      <c r="D724" s="28">
        <f t="shared" si="11"/>
        <v>3.0505649407634925E-2</v>
      </c>
    </row>
    <row r="725" spans="1:4" ht="15.6" x14ac:dyDescent="0.3">
      <c r="A725" s="8" t="s">
        <v>792</v>
      </c>
      <c r="B725" s="8">
        <v>323.10000000000002</v>
      </c>
      <c r="C725" s="15">
        <f>'Ratio Analysis'!$D$23</f>
        <v>10788.165680473374</v>
      </c>
      <c r="D725" s="28">
        <f t="shared" si="11"/>
        <v>2.9949484422992539E-2</v>
      </c>
    </row>
    <row r="726" spans="1:4" ht="15.6" x14ac:dyDescent="0.3">
      <c r="A726" s="8" t="s">
        <v>793</v>
      </c>
      <c r="B726" s="8">
        <v>320.25</v>
      </c>
      <c r="C726" s="15">
        <f>'Ratio Analysis'!$D$23</f>
        <v>10788.165680473374</v>
      </c>
      <c r="D726" s="28">
        <f t="shared" si="11"/>
        <v>2.9685306055287405E-2</v>
      </c>
    </row>
    <row r="727" spans="1:4" ht="15.6" x14ac:dyDescent="0.3">
      <c r="A727" s="8" t="s">
        <v>794</v>
      </c>
      <c r="B727" s="8">
        <v>317.75</v>
      </c>
      <c r="C727" s="15">
        <f>'Ratio Analysis'!$D$23</f>
        <v>10788.165680473374</v>
      </c>
      <c r="D727" s="28">
        <f t="shared" si="11"/>
        <v>2.9453570645019741E-2</v>
      </c>
    </row>
    <row r="728" spans="1:4" ht="15.6" x14ac:dyDescent="0.3">
      <c r="A728" s="8" t="s">
        <v>795</v>
      </c>
      <c r="B728" s="8">
        <v>310.60000000000002</v>
      </c>
      <c r="C728" s="15">
        <f>'Ratio Analysis'!$D$23</f>
        <v>10788.165680473374</v>
      </c>
      <c r="D728" s="28">
        <f t="shared" si="11"/>
        <v>2.8790807371654233E-2</v>
      </c>
    </row>
    <row r="729" spans="1:4" ht="15.6" x14ac:dyDescent="0.3">
      <c r="A729" s="8" t="s">
        <v>796</v>
      </c>
      <c r="B729" s="8">
        <v>310.60000000000002</v>
      </c>
      <c r="C729" s="15">
        <f>'Ratio Analysis'!$D$23</f>
        <v>10788.165680473374</v>
      </c>
      <c r="D729" s="28">
        <f t="shared" si="11"/>
        <v>2.8790807371654233E-2</v>
      </c>
    </row>
    <row r="730" spans="1:4" ht="15.6" x14ac:dyDescent="0.3">
      <c r="A730" s="8" t="s">
        <v>797</v>
      </c>
      <c r="B730" s="8">
        <v>312.10000000000002</v>
      </c>
      <c r="C730" s="15">
        <f>'Ratio Analysis'!$D$23</f>
        <v>10788.165680473374</v>
      </c>
      <c r="D730" s="28">
        <f t="shared" si="11"/>
        <v>2.8929848617814832E-2</v>
      </c>
    </row>
    <row r="731" spans="1:4" ht="15.6" x14ac:dyDescent="0.3">
      <c r="A731" s="8" t="s">
        <v>798</v>
      </c>
      <c r="B731" s="8">
        <v>304.85000000000002</v>
      </c>
      <c r="C731" s="15">
        <f>'Ratio Analysis'!$D$23</f>
        <v>10788.165680473374</v>
      </c>
      <c r="D731" s="28">
        <f t="shared" si="11"/>
        <v>2.8257815928038613E-2</v>
      </c>
    </row>
    <row r="732" spans="1:4" ht="15.6" x14ac:dyDescent="0.3">
      <c r="A732" s="8" t="s">
        <v>799</v>
      </c>
      <c r="B732" s="8">
        <v>295.10000000000002</v>
      </c>
      <c r="C732" s="15">
        <f>'Ratio Analysis'!$D$23</f>
        <v>10788.165680473374</v>
      </c>
      <c r="D732" s="28">
        <f t="shared" si="11"/>
        <v>2.7354047827994735E-2</v>
      </c>
    </row>
    <row r="733" spans="1:4" ht="15.6" x14ac:dyDescent="0.3">
      <c r="A733" s="8" t="s">
        <v>800</v>
      </c>
      <c r="B733" s="8">
        <v>294.85000000000002</v>
      </c>
      <c r="C733" s="15">
        <f>'Ratio Analysis'!$D$23</f>
        <v>10788.165680473374</v>
      </c>
      <c r="D733" s="28">
        <f t="shared" si="11"/>
        <v>2.7330874286967968E-2</v>
      </c>
    </row>
    <row r="734" spans="1:4" ht="15.6" x14ac:dyDescent="0.3">
      <c r="A734" s="8" t="s">
        <v>801</v>
      </c>
      <c r="B734" s="8">
        <v>300.45</v>
      </c>
      <c r="C734" s="15">
        <f>'Ratio Analysis'!$D$23</f>
        <v>10788.165680473374</v>
      </c>
      <c r="D734" s="28">
        <f t="shared" si="11"/>
        <v>2.7849961605967526E-2</v>
      </c>
    </row>
    <row r="735" spans="1:4" ht="15.6" x14ac:dyDescent="0.3">
      <c r="A735" s="59">
        <v>45202</v>
      </c>
      <c r="B735" s="8">
        <v>304.39999999999998</v>
      </c>
      <c r="C735" s="15">
        <f>'Ratio Analysis'!$D$23</f>
        <v>10788.165680473374</v>
      </c>
      <c r="D735" s="28">
        <f t="shared" si="11"/>
        <v>2.8216103554190429E-2</v>
      </c>
    </row>
    <row r="736" spans="1:4" ht="15.6" x14ac:dyDescent="0.3">
      <c r="A736" s="59">
        <v>45172</v>
      </c>
      <c r="B736" s="8">
        <v>311.64999999999998</v>
      </c>
      <c r="C736" s="15">
        <f>'Ratio Analysis'!$D$23</f>
        <v>10788.165680473374</v>
      </c>
      <c r="D736" s="28">
        <f t="shared" si="11"/>
        <v>2.8888136243966647E-2</v>
      </c>
    </row>
    <row r="737" spans="1:4" ht="15.6" x14ac:dyDescent="0.3">
      <c r="A737" s="59">
        <v>45141</v>
      </c>
      <c r="B737" s="8">
        <v>309.95</v>
      </c>
      <c r="C737" s="15">
        <f>'Ratio Analysis'!$D$23</f>
        <v>10788.165680473374</v>
      </c>
      <c r="D737" s="28">
        <f t="shared" si="11"/>
        <v>2.8730556164984638E-2</v>
      </c>
    </row>
    <row r="738" spans="1:4" ht="15.6" x14ac:dyDescent="0.3">
      <c r="A738" s="59">
        <v>45080</v>
      </c>
      <c r="B738" s="8">
        <v>311.95</v>
      </c>
      <c r="C738" s="15">
        <f>'Ratio Analysis'!$D$23</f>
        <v>10788.165680473374</v>
      </c>
      <c r="D738" s="28">
        <f t="shared" si="11"/>
        <v>2.8915944493198769E-2</v>
      </c>
    </row>
    <row r="739" spans="1:4" ht="15.6" x14ac:dyDescent="0.3">
      <c r="A739" s="59">
        <v>44988</v>
      </c>
      <c r="B739" s="8">
        <v>311.75</v>
      </c>
      <c r="C739" s="15">
        <f>'Ratio Analysis'!$D$23</f>
        <v>10788.165680473374</v>
      </c>
      <c r="D739" s="28">
        <f t="shared" si="11"/>
        <v>2.8897405660377355E-2</v>
      </c>
    </row>
    <row r="740" spans="1:4" ht="15.6" x14ac:dyDescent="0.3">
      <c r="A740" s="59">
        <v>44960</v>
      </c>
      <c r="B740" s="8">
        <v>312.5</v>
      </c>
      <c r="C740" s="15">
        <f>'Ratio Analysis'!$D$23</f>
        <v>10788.165680473374</v>
      </c>
      <c r="D740" s="28">
        <f t="shared" si="11"/>
        <v>2.8966926283457654E-2</v>
      </c>
    </row>
    <row r="741" spans="1:4" ht="15.6" x14ac:dyDescent="0.3">
      <c r="A741" s="59">
        <v>44929</v>
      </c>
      <c r="B741" s="8">
        <v>311.55</v>
      </c>
      <c r="C741" s="15">
        <f>'Ratio Analysis'!$D$23</f>
        <v>10788.165680473374</v>
      </c>
      <c r="D741" s="28">
        <f t="shared" si="11"/>
        <v>2.8878866827555943E-2</v>
      </c>
    </row>
    <row r="742" spans="1:4" ht="15.6" x14ac:dyDescent="0.3">
      <c r="A742" s="8" t="s">
        <v>802</v>
      </c>
      <c r="B742" s="8">
        <v>304</v>
      </c>
      <c r="C742" s="15">
        <f>'Ratio Analysis'!$D$23</f>
        <v>10788.165680473374</v>
      </c>
      <c r="D742" s="28">
        <f t="shared" si="11"/>
        <v>2.8179025888547607E-2</v>
      </c>
    </row>
    <row r="743" spans="1:4" ht="15.6" x14ac:dyDescent="0.3">
      <c r="A743" s="8" t="s">
        <v>803</v>
      </c>
      <c r="B743" s="8">
        <v>308.60000000000002</v>
      </c>
      <c r="C743" s="15">
        <f>'Ratio Analysis'!$D$23</f>
        <v>10788.165680473374</v>
      </c>
      <c r="D743" s="28">
        <f t="shared" si="11"/>
        <v>2.8605419043440106E-2</v>
      </c>
    </row>
    <row r="744" spans="1:4" ht="15.6" x14ac:dyDescent="0.3">
      <c r="A744" s="8" t="s">
        <v>804</v>
      </c>
      <c r="B744" s="8">
        <v>319.95</v>
      </c>
      <c r="C744" s="15">
        <f>'Ratio Analysis'!$D$23</f>
        <v>10788.165680473374</v>
      </c>
      <c r="D744" s="28">
        <f t="shared" si="11"/>
        <v>2.9657497806055283E-2</v>
      </c>
    </row>
    <row r="745" spans="1:4" ht="15.6" x14ac:dyDescent="0.3">
      <c r="A745" s="8" t="s">
        <v>805</v>
      </c>
      <c r="B745" s="8">
        <v>315.75</v>
      </c>
      <c r="C745" s="15">
        <f>'Ratio Analysis'!$D$23</f>
        <v>10788.165680473374</v>
      </c>
      <c r="D745" s="28">
        <f t="shared" si="11"/>
        <v>2.9268182316805613E-2</v>
      </c>
    </row>
    <row r="746" spans="1:4" ht="15.6" x14ac:dyDescent="0.3">
      <c r="A746" s="8" t="s">
        <v>806</v>
      </c>
      <c r="B746" s="8">
        <v>315.89999999999998</v>
      </c>
      <c r="C746" s="15">
        <f>'Ratio Analysis'!$D$23</f>
        <v>10788.165680473374</v>
      </c>
      <c r="D746" s="28">
        <f t="shared" si="11"/>
        <v>2.9282086441421672E-2</v>
      </c>
    </row>
    <row r="747" spans="1:4" ht="15.6" x14ac:dyDescent="0.3">
      <c r="A747" s="8" t="s">
        <v>807</v>
      </c>
      <c r="B747" s="8">
        <v>321.7</v>
      </c>
      <c r="C747" s="15">
        <f>'Ratio Analysis'!$D$23</f>
        <v>10788.165680473374</v>
      </c>
      <c r="D747" s="28">
        <f t="shared" si="11"/>
        <v>2.9819712593242648E-2</v>
      </c>
    </row>
    <row r="748" spans="1:4" ht="15.6" x14ac:dyDescent="0.3">
      <c r="A748" s="8" t="s">
        <v>808</v>
      </c>
      <c r="B748" s="8">
        <v>321.2</v>
      </c>
      <c r="C748" s="15">
        <f>'Ratio Analysis'!$D$23</f>
        <v>10788.165680473374</v>
      </c>
      <c r="D748" s="28">
        <f t="shared" si="11"/>
        <v>2.9773365511189115E-2</v>
      </c>
    </row>
    <row r="749" spans="1:4" ht="15.6" x14ac:dyDescent="0.3">
      <c r="A749" s="8" t="s">
        <v>809</v>
      </c>
      <c r="B749" s="8">
        <v>323.95</v>
      </c>
      <c r="C749" s="15">
        <f>'Ratio Analysis'!$D$23</f>
        <v>10788.165680473374</v>
      </c>
      <c r="D749" s="28">
        <f t="shared" si="11"/>
        <v>3.0028274462483542E-2</v>
      </c>
    </row>
    <row r="750" spans="1:4" ht="15.6" x14ac:dyDescent="0.3">
      <c r="A750" s="8"/>
      <c r="B750" s="8"/>
      <c r="C750" s="8"/>
      <c r="D750" s="8"/>
    </row>
    <row r="751" spans="1:4" ht="15.6" x14ac:dyDescent="0.3">
      <c r="A751" s="8"/>
      <c r="B751" s="8"/>
      <c r="C751" s="8"/>
      <c r="D751" s="8"/>
    </row>
    <row r="752" spans="1:4" ht="15.6" x14ac:dyDescent="0.3">
      <c r="A752" s="8"/>
      <c r="B752" s="8"/>
      <c r="C752" s="8"/>
      <c r="D752" s="8"/>
    </row>
    <row r="753" spans="1:4" ht="15.6" x14ac:dyDescent="0.3">
      <c r="A753" s="8"/>
      <c r="B753" s="8"/>
      <c r="C753" s="8"/>
      <c r="D753" s="8"/>
    </row>
    <row r="754" spans="1:4" ht="15.6" x14ac:dyDescent="0.3">
      <c r="A754" s="8"/>
      <c r="B754" s="8"/>
      <c r="C754" s="8"/>
      <c r="D754" s="8"/>
    </row>
    <row r="755" spans="1:4" ht="15.6" x14ac:dyDescent="0.3">
      <c r="A755" s="8"/>
      <c r="B755" s="8"/>
      <c r="C755" s="8"/>
      <c r="D755" s="8"/>
    </row>
    <row r="756" spans="1:4" ht="15.6" x14ac:dyDescent="0.3">
      <c r="A756" s="8"/>
      <c r="B756" s="8"/>
      <c r="C756" s="8"/>
      <c r="D756" s="8"/>
    </row>
    <row r="757" spans="1:4" ht="15.6" x14ac:dyDescent="0.3">
      <c r="A757" s="8"/>
      <c r="B757" s="8"/>
      <c r="C757" s="8"/>
      <c r="D75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FRONT PAGE</vt:lpstr>
      <vt:lpstr>SUMMARY TABLES</vt:lpstr>
      <vt:lpstr>CHARTS</vt:lpstr>
      <vt:lpstr>P&amp;L </vt:lpstr>
      <vt:lpstr>Balance sheet</vt:lpstr>
      <vt:lpstr>Cash flow</vt:lpstr>
      <vt:lpstr>Common Size  P&amp;L</vt:lpstr>
      <vt:lpstr>Common Size B&amp;L</vt:lpstr>
      <vt:lpstr>Ratio Analysis</vt:lpstr>
      <vt:lpstr>Revenue model</vt:lpstr>
      <vt:lpstr>Capex model</vt:lpstr>
      <vt:lpstr>DCF</vt:lpstr>
      <vt:lpstr>RELATIVE VALUATION</vt:lpstr>
      <vt:lpstr>Valuation based on frwd mutlple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mudangulasunny@outlook.com</dc:creator>
  <cp:lastModifiedBy>mudangulasunny@outlook.com</cp:lastModifiedBy>
  <dcterms:created xsi:type="dcterms:W3CDTF">2026-01-30T09:40:32Z</dcterms:created>
  <dcterms:modified xsi:type="dcterms:W3CDTF">2026-02-21T16:11:09Z</dcterms:modified>
</cp:coreProperties>
</file>